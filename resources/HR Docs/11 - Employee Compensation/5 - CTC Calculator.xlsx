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44" windowWidth="22980" windowHeight="8760"/>
  </bookViews>
  <sheets>
    <sheet name="Sheet1" sheetId="1" r:id="rId1"/>
  </sheets>
  <definedNames>
    <definedName name="_xlnm.Print_Area" localSheetId="0">Sheet1!$A$1:$E$36</definedName>
  </definedNames>
  <calcPr calcId="144525"/>
</workbook>
</file>

<file path=xl/calcChain.xml><?xml version="1.0" encoding="utf-8"?>
<calcChain xmlns="http://schemas.openxmlformats.org/spreadsheetml/2006/main">
  <c r="C21" i="1" l="1"/>
  <c r="C16" i="1"/>
  <c r="B18" i="1"/>
  <c r="B17" i="1"/>
  <c r="B16" i="1"/>
  <c r="D9" i="1"/>
  <c r="D24" i="1" l="1"/>
  <c r="D32" i="1"/>
  <c r="D29" i="1"/>
  <c r="C22" i="1"/>
  <c r="D22" i="1" s="1"/>
  <c r="C25" i="1" l="1"/>
  <c r="D23" i="1"/>
  <c r="D21" i="1"/>
  <c r="D25" i="1" s="1"/>
  <c r="D26" i="1" l="1"/>
  <c r="C26" i="1"/>
  <c r="C28" i="1" l="1"/>
  <c r="D28" i="1" s="1"/>
  <c r="C27" i="1"/>
  <c r="C31" i="1" l="1"/>
  <c r="C35" i="1" l="1"/>
  <c r="D27" i="1"/>
  <c r="D31" i="1" l="1"/>
  <c r="D35" i="1" s="1"/>
</calcChain>
</file>

<file path=xl/sharedStrings.xml><?xml version="1.0" encoding="utf-8"?>
<sst xmlns="http://schemas.openxmlformats.org/spreadsheetml/2006/main" count="38" uniqueCount="35">
  <si>
    <t>Name:</t>
  </si>
  <si>
    <t>Designation:</t>
  </si>
  <si>
    <t>Location:</t>
  </si>
  <si>
    <t>Metro City(Yes/No)</t>
  </si>
  <si>
    <t>Monthly</t>
  </si>
  <si>
    <t>Annaual</t>
  </si>
  <si>
    <t>CTC</t>
  </si>
  <si>
    <t>Automatic CTC Structure</t>
  </si>
  <si>
    <t>Particulars</t>
  </si>
  <si>
    <t>Annual</t>
  </si>
  <si>
    <t>Basic Salary</t>
  </si>
  <si>
    <t>House Rent Allowance</t>
  </si>
  <si>
    <t>Special Allowance</t>
  </si>
  <si>
    <t>Gross Salary</t>
  </si>
  <si>
    <t>Provident Fund( Employee)</t>
  </si>
  <si>
    <t>ESIC</t>
  </si>
  <si>
    <t>PT</t>
  </si>
  <si>
    <t>Income Tax(TDS)</t>
  </si>
  <si>
    <t>Net Salary</t>
  </si>
  <si>
    <t>Variable</t>
  </si>
  <si>
    <t>Bonus</t>
  </si>
  <si>
    <t>Gratuity</t>
  </si>
  <si>
    <t>Total CTC</t>
  </si>
  <si>
    <t>PF %</t>
  </si>
  <si>
    <t>Yes</t>
  </si>
  <si>
    <t>CTC Calculator</t>
  </si>
  <si>
    <t>Allowance 1</t>
  </si>
  <si>
    <t>Allowance 2</t>
  </si>
  <si>
    <t>Preet Sonpal</t>
  </si>
  <si>
    <t>Marketing Manager</t>
  </si>
  <si>
    <t>Mumbai</t>
  </si>
  <si>
    <t>DOJ</t>
  </si>
  <si>
    <t>18th Aug, 2020</t>
  </si>
  <si>
    <t>This will get autogenerated</t>
  </si>
  <si>
    <t>INPUT ALL FIELDS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</si>
</sst>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 * #,##0.00_ ;_ * \-#,##0.00_ ;_ * &quot;-&quot;??_ ;_ @_ "/>
    <numFmt numFmtId="164" formatCode="_(* #,##0_);_(* \(#,##0\);_(* &quot;-&quot;??_);_(@_)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Arial"/>
      <family val="2"/>
    </font>
    <font>
      <b/>
      <sz val="10"/>
      <name val="Open Sans"/>
      <family val="2"/>
    </font>
    <font>
      <sz val="10"/>
      <name val="Open Sans"/>
      <family val="2"/>
    </font>
    <font>
      <b/>
      <sz val="2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9">
    <xf numFmtId="0" fontId="0" fillId="0" borderId="0" xfId="0"/>
    <xf numFmtId="0" fontId="2" fillId="0" borderId="1" xfId="0" applyFont="1" applyFill="1" applyBorder="1"/>
    <xf numFmtId="0" fontId="2" fillId="0" borderId="1" xfId="0" applyFont="1" applyBorder="1"/>
    <xf numFmtId="0" fontId="6" fillId="5" borderId="2" xfId="0" applyFont="1" applyFill="1" applyBorder="1" applyAlignment="1">
      <alignment horizontal="center"/>
    </xf>
    <xf numFmtId="0" fontId="6" fillId="5" borderId="6" xfId="0" applyFont="1" applyFill="1" applyBorder="1" applyAlignment="1">
      <alignment horizontal="center"/>
    </xf>
    <xf numFmtId="0" fontId="6" fillId="5" borderId="3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6" fillId="5" borderId="7" xfId="0" applyFont="1" applyFill="1" applyBorder="1" applyAlignment="1">
      <alignment horizontal="center"/>
    </xf>
    <xf numFmtId="0" fontId="6" fillId="5" borderId="5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0" fontId="2" fillId="5" borderId="9" xfId="0" applyFont="1" applyFill="1" applyBorder="1" applyAlignment="1">
      <alignment horizontal="center"/>
    </xf>
    <xf numFmtId="0" fontId="2" fillId="5" borderId="10" xfId="0" applyFont="1" applyFill="1" applyBorder="1" applyAlignment="1">
      <alignment horizontal="center"/>
    </xf>
    <xf numFmtId="49" fontId="2" fillId="0" borderId="15" xfId="0" applyNumberFormat="1" applyFont="1" applyBorder="1"/>
    <xf numFmtId="0" fontId="0" fillId="0" borderId="15" xfId="0" applyNumberFormat="1" applyBorder="1" applyAlignment="1"/>
    <xf numFmtId="0" fontId="2" fillId="0" borderId="16" xfId="0" applyNumberFormat="1" applyFont="1" applyBorder="1"/>
    <xf numFmtId="49" fontId="0" fillId="0" borderId="16" xfId="0" applyNumberForma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18" xfId="0" applyFont="1" applyFill="1" applyBorder="1" applyAlignment="1">
      <alignment vertical="center"/>
    </xf>
    <xf numFmtId="164" fontId="5" fillId="4" borderId="18" xfId="1" applyNumberFormat="1" applyFont="1" applyFill="1" applyBorder="1" applyAlignment="1" applyProtection="1">
      <alignment horizontal="center" vertical="center"/>
      <protection locked="0"/>
    </xf>
    <xf numFmtId="164" fontId="5" fillId="4" borderId="18" xfId="1" applyNumberFormat="1" applyFont="1" applyFill="1" applyBorder="1" applyAlignment="1">
      <alignment horizontal="center" vertical="center"/>
    </xf>
    <xf numFmtId="0" fontId="5" fillId="4" borderId="16" xfId="0" applyFont="1" applyFill="1" applyBorder="1" applyAlignment="1">
      <alignment vertical="center"/>
    </xf>
    <xf numFmtId="164" fontId="5" fillId="4" borderId="16" xfId="1" applyNumberFormat="1" applyFont="1" applyFill="1" applyBorder="1" applyAlignment="1" applyProtection="1">
      <alignment horizontal="center" vertical="center"/>
      <protection locked="0"/>
    </xf>
    <xf numFmtId="164" fontId="5" fillId="4" borderId="16" xfId="1" applyNumberFormat="1" applyFont="1" applyFill="1" applyBorder="1" applyAlignment="1">
      <alignment horizontal="center" vertical="center"/>
    </xf>
    <xf numFmtId="0" fontId="5" fillId="4" borderId="16" xfId="0" applyFont="1" applyFill="1" applyBorder="1" applyAlignment="1" applyProtection="1">
      <alignment vertical="center"/>
      <protection locked="0"/>
    </xf>
    <xf numFmtId="0" fontId="5" fillId="4" borderId="17" xfId="0" applyFont="1" applyFill="1" applyBorder="1" applyAlignment="1">
      <alignment vertical="center"/>
    </xf>
    <xf numFmtId="164" fontId="5" fillId="4" borderId="17" xfId="1" applyNumberFormat="1" applyFont="1" applyFill="1" applyBorder="1" applyAlignment="1" applyProtection="1">
      <alignment horizontal="center" vertical="center"/>
    </xf>
    <xf numFmtId="164" fontId="5" fillId="4" borderId="17" xfId="1" applyNumberFormat="1" applyFont="1" applyFill="1" applyBorder="1" applyAlignment="1" applyProtection="1">
      <alignment horizontal="center" vertical="center"/>
      <protection locked="0"/>
    </xf>
    <xf numFmtId="164" fontId="4" fillId="3" borderId="1" xfId="1" applyNumberFormat="1" applyFont="1" applyFill="1" applyBorder="1" applyAlignment="1">
      <alignment horizontal="center" vertical="center"/>
    </xf>
    <xf numFmtId="164" fontId="5" fillId="4" borderId="17" xfId="1" applyNumberFormat="1" applyFont="1" applyFill="1" applyBorder="1" applyAlignment="1">
      <alignment horizontal="center" vertical="center"/>
    </xf>
    <xf numFmtId="0" fontId="5" fillId="4" borderId="18" xfId="0" applyFont="1" applyFill="1" applyBorder="1" applyAlignment="1" applyProtection="1">
      <alignment vertical="center"/>
      <protection locked="0"/>
    </xf>
    <xf numFmtId="164" fontId="5" fillId="4" borderId="18" xfId="1" applyNumberFormat="1" applyFont="1" applyFill="1" applyBorder="1" applyAlignment="1" applyProtection="1">
      <alignment horizontal="center" vertical="center"/>
      <protection hidden="1"/>
    </xf>
    <xf numFmtId="0" fontId="4" fillId="4" borderId="1" xfId="0" applyFont="1" applyFill="1" applyBorder="1" applyAlignment="1">
      <alignment vertical="center"/>
    </xf>
    <xf numFmtId="164" fontId="4" fillId="4" borderId="1" xfId="1" applyNumberFormat="1" applyFont="1" applyFill="1" applyBorder="1" applyAlignment="1">
      <alignment horizontal="center" vertical="center"/>
    </xf>
    <xf numFmtId="0" fontId="5" fillId="4" borderId="17" xfId="0" applyFont="1" applyFill="1" applyBorder="1" applyAlignment="1" applyProtection="1">
      <alignment vertical="center"/>
      <protection locked="0"/>
    </xf>
    <xf numFmtId="0" fontId="4" fillId="0" borderId="1" xfId="0" applyFont="1" applyFill="1" applyBorder="1" applyAlignment="1">
      <alignment vertical="center"/>
    </xf>
    <xf numFmtId="164" fontId="4" fillId="0" borderId="1" xfId="1" applyNumberFormat="1" applyFont="1" applyFill="1" applyBorder="1" applyAlignment="1">
      <alignment horizontal="center" vertical="center"/>
    </xf>
    <xf numFmtId="9" fontId="2" fillId="3" borderId="10" xfId="0" applyNumberFormat="1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49" fontId="0" fillId="0" borderId="12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2" fillId="0" borderId="14" xfId="0" applyFont="1" applyBorder="1" applyAlignment="1">
      <alignment horizontal="center"/>
    </xf>
    <xf numFmtId="164" fontId="2" fillId="0" borderId="19" xfId="1" applyNumberFormat="1" applyFont="1" applyBorder="1"/>
    <xf numFmtId="49" fontId="0" fillId="0" borderId="20" xfId="0" applyNumberFormat="1" applyBorder="1" applyAlignment="1">
      <alignment horizontal="center"/>
    </xf>
    <xf numFmtId="0" fontId="0" fillId="0" borderId="21" xfId="0" applyBorder="1" applyAlignment="1">
      <alignment horizontal="center"/>
    </xf>
    <xf numFmtId="0" fontId="2" fillId="3" borderId="21" xfId="0" applyFont="1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164" fontId="2" fillId="0" borderId="22" xfId="1" applyNumberFormat="1" applyFont="1" applyBorder="1"/>
    <xf numFmtId="9" fontId="2" fillId="3" borderId="9" xfId="0" applyNumberFormat="1" applyFont="1" applyFill="1" applyBorder="1" applyAlignment="1">
      <alignment horizontal="center"/>
    </xf>
    <xf numFmtId="0" fontId="2" fillId="0" borderId="15" xfId="0" applyFont="1" applyBorder="1"/>
    <xf numFmtId="0" fontId="2" fillId="0" borderId="16" xfId="0" applyFont="1" applyBorder="1"/>
    <xf numFmtId="0" fontId="2" fillId="0" borderId="16" xfId="0" applyFont="1" applyBorder="1" applyAlignment="1">
      <alignment horizontal="center"/>
    </xf>
    <xf numFmtId="0" fontId="7" fillId="6" borderId="0" xfId="0" applyFont="1" applyFill="1"/>
    <xf numFmtId="0" fontId="0" fillId="6" borderId="0" xfId="0" applyFill="1"/>
    <xf numFmtId="0" fontId="2" fillId="6" borderId="0" xfId="0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tabSelected="1" topLeftCell="A16" zoomScaleNormal="100" workbookViewId="0"/>
  </sheetViews>
  <sheetFormatPr defaultRowHeight="14.4"/>
  <cols>
    <col min="1" max="1" width="2.44140625" customWidth="1"/>
    <col min="2" max="2" width="23.44140625" bestFit="1" customWidth="1"/>
    <col min="3" max="3" width="13.5546875" customWidth="1"/>
    <col min="4" max="4" width="13.77734375" customWidth="1"/>
    <col min="5" max="5" width="2.109375" customWidth="1"/>
    <col min="8" max="8" width="17.5546875" bestFit="1" customWidth="1"/>
    <col min="9" max="9" width="11.21875" customWidth="1"/>
    <col min="10" max="10" width="9.44140625" bestFit="1" customWidth="1"/>
    <col min="11" max="11" width="17.5546875" bestFit="1" customWidth="1"/>
    <col min="12" max="12" width="8.21875" bestFit="1" customWidth="1"/>
    <col min="13" max="13" width="9.44140625" bestFit="1" customWidth="1"/>
  </cols>
  <sheetData>
    <row r="1" spans="1:5" ht="15" thickBot="1">
      <c r="A1" s="56"/>
      <c r="B1" s="56"/>
      <c r="C1" s="56"/>
      <c r="D1" s="56"/>
      <c r="E1" s="56"/>
    </row>
    <row r="2" spans="1:5" ht="15" thickBot="1">
      <c r="A2" s="57"/>
      <c r="B2" s="9" t="s">
        <v>34</v>
      </c>
      <c r="C2" s="10"/>
      <c r="D2" s="11"/>
      <c r="E2" s="57"/>
    </row>
    <row r="3" spans="1:5">
      <c r="A3" s="57"/>
      <c r="B3" s="53" t="s">
        <v>0</v>
      </c>
      <c r="C3" s="47" t="s">
        <v>28</v>
      </c>
      <c r="D3" s="42"/>
      <c r="E3" s="57"/>
    </row>
    <row r="4" spans="1:5">
      <c r="A4" s="57"/>
      <c r="B4" s="54" t="s">
        <v>1</v>
      </c>
      <c r="C4" s="48" t="s">
        <v>29</v>
      </c>
      <c r="D4" s="43"/>
      <c r="E4" s="57"/>
    </row>
    <row r="5" spans="1:5">
      <c r="A5" s="57"/>
      <c r="B5" s="54" t="s">
        <v>2</v>
      </c>
      <c r="C5" s="48" t="s">
        <v>30</v>
      </c>
      <c r="D5" s="43"/>
      <c r="E5" s="57"/>
    </row>
    <row r="6" spans="1:5">
      <c r="A6" s="57"/>
      <c r="B6" s="54" t="s">
        <v>31</v>
      </c>
      <c r="C6" s="48" t="s">
        <v>32</v>
      </c>
      <c r="D6" s="43"/>
      <c r="E6" s="57"/>
    </row>
    <row r="7" spans="1:5">
      <c r="A7" s="57"/>
      <c r="B7" s="54" t="s">
        <v>3</v>
      </c>
      <c r="C7" s="49" t="s">
        <v>24</v>
      </c>
      <c r="D7" s="44"/>
      <c r="E7" s="57"/>
    </row>
    <row r="8" spans="1:5">
      <c r="A8" s="57"/>
      <c r="B8" s="55"/>
      <c r="C8" s="50" t="s">
        <v>4</v>
      </c>
      <c r="D8" s="45" t="s">
        <v>5</v>
      </c>
      <c r="E8" s="57"/>
    </row>
    <row r="9" spans="1:5" ht="15" thickBot="1">
      <c r="A9" s="57"/>
      <c r="B9" s="54" t="s">
        <v>6</v>
      </c>
      <c r="C9" s="51">
        <v>18000</v>
      </c>
      <c r="D9" s="46">
        <f>C9*12</f>
        <v>216000</v>
      </c>
      <c r="E9" s="57"/>
    </row>
    <row r="10" spans="1:5" ht="15" thickBot="1">
      <c r="A10" s="57"/>
      <c r="B10" s="1" t="s">
        <v>23</v>
      </c>
      <c r="C10" s="52">
        <v>0.12</v>
      </c>
      <c r="D10" s="38"/>
      <c r="E10" s="57"/>
    </row>
    <row r="11" spans="1:5" ht="15" thickBot="1">
      <c r="A11" s="57"/>
      <c r="B11" s="2" t="s">
        <v>15</v>
      </c>
      <c r="C11" s="41" t="s">
        <v>24</v>
      </c>
      <c r="D11" s="40"/>
      <c r="E11" s="57"/>
    </row>
    <row r="12" spans="1:5" ht="15" thickBot="1">
      <c r="A12" s="57"/>
      <c r="B12" s="58"/>
      <c r="C12" s="58"/>
      <c r="D12" s="58"/>
      <c r="E12" s="57"/>
    </row>
    <row r="13" spans="1:5" ht="15" thickBot="1">
      <c r="A13" s="57"/>
      <c r="B13" s="39" t="s">
        <v>33</v>
      </c>
      <c r="C13" s="41"/>
      <c r="D13" s="40"/>
      <c r="E13" s="57"/>
    </row>
    <row r="14" spans="1:5">
      <c r="A14" s="57"/>
      <c r="B14" s="3" t="s">
        <v>25</v>
      </c>
      <c r="C14" s="4"/>
      <c r="D14" s="5"/>
      <c r="E14" s="57"/>
    </row>
    <row r="15" spans="1:5" ht="15" thickBot="1">
      <c r="A15" s="57"/>
      <c r="B15" s="6"/>
      <c r="C15" s="7"/>
      <c r="D15" s="8"/>
      <c r="E15" s="57"/>
    </row>
    <row r="16" spans="1:5">
      <c r="A16" s="57"/>
      <c r="B16" s="12" t="str">
        <f>C3</f>
        <v>Preet Sonpal</v>
      </c>
      <c r="C16" s="13" t="str">
        <f>CONCATENATE("Joined On: ",C6)</f>
        <v>Joined On: 18th Aug, 2020</v>
      </c>
      <c r="D16" s="13"/>
      <c r="E16" s="57"/>
    </row>
    <row r="17" spans="1:5">
      <c r="A17" s="57"/>
      <c r="B17" s="14" t="str">
        <f>C4</f>
        <v>Marketing Manager</v>
      </c>
      <c r="C17" s="15"/>
      <c r="D17" s="15"/>
      <c r="E17" s="57"/>
    </row>
    <row r="18" spans="1:5" ht="15" thickBot="1">
      <c r="A18" s="57"/>
      <c r="B18" s="14" t="str">
        <f>C5</f>
        <v>Mumbai</v>
      </c>
      <c r="C18" s="15"/>
      <c r="D18" s="15"/>
      <c r="E18" s="57"/>
    </row>
    <row r="19" spans="1:5" ht="15" thickBot="1">
      <c r="A19" s="57"/>
      <c r="B19" s="16" t="s">
        <v>7</v>
      </c>
      <c r="C19" s="16"/>
      <c r="D19" s="16"/>
      <c r="E19" s="57"/>
    </row>
    <row r="20" spans="1:5" ht="15" thickBot="1">
      <c r="A20" s="57"/>
      <c r="B20" s="17" t="s">
        <v>8</v>
      </c>
      <c r="C20" s="18" t="s">
        <v>4</v>
      </c>
      <c r="D20" s="18" t="s">
        <v>9</v>
      </c>
      <c r="E20" s="57"/>
    </row>
    <row r="21" spans="1:5">
      <c r="A21" s="57"/>
      <c r="B21" s="19" t="s">
        <v>10</v>
      </c>
      <c r="C21" s="20">
        <f>IF(C7="Yes",C9*50%,C9*40%)</f>
        <v>9000</v>
      </c>
      <c r="D21" s="21">
        <f>C21*12</f>
        <v>108000</v>
      </c>
      <c r="E21" s="57"/>
    </row>
    <row r="22" spans="1:5">
      <c r="A22" s="57"/>
      <c r="B22" s="22" t="s">
        <v>11</v>
      </c>
      <c r="C22" s="23">
        <f>C21*50%</f>
        <v>4500</v>
      </c>
      <c r="D22" s="24">
        <f t="shared" ref="D22:D24" si="0">C22*12</f>
        <v>54000</v>
      </c>
      <c r="E22" s="57"/>
    </row>
    <row r="23" spans="1:5">
      <c r="A23" s="57"/>
      <c r="B23" s="25" t="s">
        <v>26</v>
      </c>
      <c r="C23" s="23">
        <v>1500</v>
      </c>
      <c r="D23" s="24">
        <f t="shared" si="0"/>
        <v>18000</v>
      </c>
      <c r="E23" s="57"/>
    </row>
    <row r="24" spans="1:5">
      <c r="A24" s="57"/>
      <c r="B24" s="25" t="s">
        <v>27</v>
      </c>
      <c r="C24" s="23">
        <v>0</v>
      </c>
      <c r="D24" s="24">
        <f t="shared" si="0"/>
        <v>0</v>
      </c>
      <c r="E24" s="57"/>
    </row>
    <row r="25" spans="1:5" ht="15" thickBot="1">
      <c r="A25" s="57"/>
      <c r="B25" s="35" t="s">
        <v>12</v>
      </c>
      <c r="C25" s="28">
        <f>C9-SUM(C21:C23)</f>
        <v>3000</v>
      </c>
      <c r="D25" s="28">
        <f>D9-SUM(D21:D23)</f>
        <v>36000</v>
      </c>
      <c r="E25" s="57"/>
    </row>
    <row r="26" spans="1:5" ht="15" thickBot="1">
      <c r="A26" s="57"/>
      <c r="B26" s="36" t="s">
        <v>13</v>
      </c>
      <c r="C26" s="37">
        <f>SUM(C21:C25)</f>
        <v>18000</v>
      </c>
      <c r="D26" s="37">
        <f>SUM(D21:D25)</f>
        <v>216000</v>
      </c>
      <c r="E26" s="57"/>
    </row>
    <row r="27" spans="1:5">
      <c r="A27" s="57"/>
      <c r="B27" s="19" t="s">
        <v>14</v>
      </c>
      <c r="C27" s="20">
        <f>(C26-C22)*C10</f>
        <v>1620</v>
      </c>
      <c r="D27" s="21">
        <f t="shared" ref="D27" si="1">C27*12</f>
        <v>19440</v>
      </c>
      <c r="E27" s="57"/>
    </row>
    <row r="28" spans="1:5">
      <c r="A28" s="57"/>
      <c r="B28" s="22" t="s">
        <v>15</v>
      </c>
      <c r="C28" s="23">
        <f>IF(C26&lt;20000,IF(C11="Yes",C26*0.75%,0),0)</f>
        <v>135</v>
      </c>
      <c r="D28" s="24">
        <f>C28*12</f>
        <v>1620</v>
      </c>
      <c r="E28" s="57"/>
    </row>
    <row r="29" spans="1:5">
      <c r="A29" s="57"/>
      <c r="B29" s="22" t="s">
        <v>16</v>
      </c>
      <c r="C29" s="23">
        <v>200</v>
      </c>
      <c r="D29" s="24">
        <f>C29*12+100</f>
        <v>2500</v>
      </c>
      <c r="E29" s="57"/>
    </row>
    <row r="30" spans="1:5" ht="15" thickBot="1">
      <c r="A30" s="57"/>
      <c r="B30" s="26" t="s">
        <v>17</v>
      </c>
      <c r="C30" s="28">
        <v>0</v>
      </c>
      <c r="D30" s="30">
        <v>0</v>
      </c>
      <c r="E30" s="57"/>
    </row>
    <row r="31" spans="1:5" ht="15" thickBot="1">
      <c r="A31" s="57"/>
      <c r="B31" s="33" t="s">
        <v>18</v>
      </c>
      <c r="C31" s="34">
        <f>C26-C27-C28-C29-C30</f>
        <v>16045</v>
      </c>
      <c r="D31" s="34">
        <f>D26-D27-D28-D29-D30</f>
        <v>192440</v>
      </c>
      <c r="E31" s="57"/>
    </row>
    <row r="32" spans="1:5">
      <c r="A32" s="57"/>
      <c r="B32" s="31" t="s">
        <v>19</v>
      </c>
      <c r="C32" s="32"/>
      <c r="D32" s="20">
        <f>C32*12</f>
        <v>0</v>
      </c>
      <c r="E32" s="57"/>
    </row>
    <row r="33" spans="1:5">
      <c r="A33" s="57"/>
      <c r="B33" s="22" t="s">
        <v>20</v>
      </c>
      <c r="C33" s="24">
        <v>0</v>
      </c>
      <c r="D33" s="24">
        <v>0</v>
      </c>
      <c r="E33" s="57"/>
    </row>
    <row r="34" spans="1:5" ht="15" thickBot="1">
      <c r="A34" s="57"/>
      <c r="B34" s="26" t="s">
        <v>21</v>
      </c>
      <c r="C34" s="27">
        <v>0</v>
      </c>
      <c r="D34" s="28">
        <v>0</v>
      </c>
      <c r="E34" s="57"/>
    </row>
    <row r="35" spans="1:5" ht="15" thickBot="1">
      <c r="A35" s="57"/>
      <c r="B35" s="17" t="s">
        <v>22</v>
      </c>
      <c r="C35" s="29">
        <f>C31+C32+C33+C34</f>
        <v>16045</v>
      </c>
      <c r="D35" s="29">
        <f>D31+D32+D33+D34</f>
        <v>192440</v>
      </c>
      <c r="E35" s="57"/>
    </row>
    <row r="36" spans="1:5">
      <c r="A36" s="57"/>
      <c r="B36" s="57"/>
      <c r="C36" s="57"/>
      <c r="D36" s="57"/>
      <c r="E36" s="57"/>
    </row>
  </sheetData>
  <mergeCells count="14">
    <mergeCell ref="B19:D19"/>
    <mergeCell ref="B14:D15"/>
    <mergeCell ref="B2:D2"/>
    <mergeCell ref="C3:D3"/>
    <mergeCell ref="C4:D4"/>
    <mergeCell ref="C5:D5"/>
    <mergeCell ref="C6:D6"/>
    <mergeCell ref="C16:D16"/>
    <mergeCell ref="C17:D17"/>
    <mergeCell ref="C18:D18"/>
    <mergeCell ref="C10:D10"/>
    <mergeCell ref="C11:D11"/>
    <mergeCell ref="C7:D7"/>
    <mergeCell ref="B13:D13"/>
  </mergeCells>
  <dataValidations count="1">
    <dataValidation type="list" allowBlank="1" showInputMessage="1" showErrorMessage="1" sqref="C7 C11:C12">
      <formula1>"Yes, No"</formula1>
    </dataValidation>
  </dataValidation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2020-08-03T11:49:47Z</dcterms:created>
  <dcterms:modified xsi:type="dcterms:W3CDTF">2020-08-14T11:17:46Z</dcterms:modified>
</cp:coreProperties>
</file>