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7752"/>
  </bookViews>
  <sheets>
    <sheet name="Sheet1" sheetId="1" r:id="rId1"/>
  </sheets>
  <definedNames>
    <definedName name="_xlnm.Print_Area" localSheetId="0">Sheet1!$A$1:$F$87</definedName>
  </definedNames>
  <calcPr calcId="162913"/>
</workbook>
</file>

<file path=xl/calcChain.xml><?xml version="1.0" encoding="utf-8"?>
<calcChain xmlns="http://schemas.openxmlformats.org/spreadsheetml/2006/main">
  <c r="F83" i="1" l="1"/>
  <c r="F8" i="1" l="1"/>
  <c r="F9" i="1"/>
  <c r="F10" i="1"/>
  <c r="F11" i="1"/>
  <c r="F12" i="1"/>
  <c r="B13" i="1"/>
  <c r="C8" i="1" s="1"/>
  <c r="C9" i="1" l="1"/>
  <c r="C10" i="1"/>
  <c r="C11" i="1"/>
  <c r="C12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72" i="1"/>
  <c r="F73" i="1"/>
  <c r="F74" i="1"/>
  <c r="F75" i="1"/>
  <c r="F76" i="1"/>
  <c r="D67" i="1"/>
  <c r="E51" i="1" s="1"/>
  <c r="E77" i="1"/>
  <c r="B67" i="1"/>
  <c r="C50" i="1" s="1"/>
  <c r="D77" i="1"/>
  <c r="C65" i="1"/>
  <c r="F18" i="1"/>
  <c r="F19" i="1"/>
  <c r="F20" i="1"/>
  <c r="F21" i="1"/>
  <c r="F22" i="1"/>
  <c r="F31" i="1"/>
  <c r="F32" i="1"/>
  <c r="F33" i="1"/>
  <c r="F34" i="1"/>
  <c r="F35" i="1"/>
  <c r="D13" i="1"/>
  <c r="D23" i="1"/>
  <c r="E18" i="1" s="1"/>
  <c r="E36" i="1"/>
  <c r="B23" i="1"/>
  <c r="C20" i="1" s="1"/>
  <c r="D36" i="1"/>
  <c r="C56" i="1" l="1"/>
  <c r="C61" i="1"/>
  <c r="D79" i="1"/>
  <c r="C59" i="1"/>
  <c r="C64" i="1"/>
  <c r="C55" i="1"/>
  <c r="C60" i="1"/>
  <c r="C51" i="1"/>
  <c r="C53" i="1"/>
  <c r="C49" i="1"/>
  <c r="E9" i="1"/>
  <c r="E11" i="1"/>
  <c r="E10" i="1"/>
  <c r="E8" i="1"/>
  <c r="E12" i="1"/>
  <c r="E56" i="1"/>
  <c r="E64" i="1"/>
  <c r="E52" i="1"/>
  <c r="E59" i="1"/>
  <c r="E60" i="1"/>
  <c r="E79" i="1"/>
  <c r="C63" i="1"/>
  <c r="C57" i="1"/>
  <c r="C52" i="1"/>
  <c r="E63" i="1"/>
  <c r="E55" i="1"/>
  <c r="F77" i="1"/>
  <c r="F67" i="1"/>
  <c r="F36" i="1"/>
  <c r="E21" i="1"/>
  <c r="E20" i="1"/>
  <c r="D39" i="1"/>
  <c r="E82" i="1" s="1"/>
  <c r="B39" i="1"/>
  <c r="C18" i="1"/>
  <c r="C22" i="1"/>
  <c r="C19" i="1"/>
  <c r="F23" i="1"/>
  <c r="D26" i="1"/>
  <c r="F13" i="1"/>
  <c r="B26" i="1"/>
  <c r="C21" i="1"/>
  <c r="E19" i="1"/>
  <c r="E66" i="1"/>
  <c r="E62" i="1"/>
  <c r="E58" i="1"/>
  <c r="E54" i="1"/>
  <c r="E50" i="1"/>
  <c r="E22" i="1"/>
  <c r="C66" i="1"/>
  <c r="C62" i="1"/>
  <c r="C58" i="1"/>
  <c r="C54" i="1"/>
  <c r="E65" i="1"/>
  <c r="E61" i="1"/>
  <c r="E57" i="1"/>
  <c r="E53" i="1"/>
  <c r="E49" i="1"/>
  <c r="D82" i="1" l="1"/>
  <c r="D84" i="1" s="1"/>
  <c r="E84" i="1"/>
  <c r="F82" i="1"/>
  <c r="F84" i="1" s="1"/>
  <c r="F79" i="1"/>
  <c r="C67" i="1"/>
  <c r="E23" i="1"/>
  <c r="C23" i="1"/>
  <c r="F39" i="1"/>
  <c r="E13" i="1"/>
  <c r="F26" i="1"/>
  <c r="E67" i="1"/>
  <c r="C13" i="1"/>
</calcChain>
</file>

<file path=xl/sharedStrings.xml><?xml version="1.0" encoding="utf-8"?>
<sst xmlns="http://schemas.openxmlformats.org/spreadsheetml/2006/main" count="88" uniqueCount="57">
  <si>
    <t>INCOME</t>
  </si>
  <si>
    <t>Products</t>
  </si>
  <si>
    <t>Actual</t>
  </si>
  <si>
    <t>% of Total Sales</t>
  </si>
  <si>
    <t>Budget</t>
  </si>
  <si>
    <t>[SPECIFY PRODUCT]</t>
  </si>
  <si>
    <t>TOTAL SALES</t>
  </si>
  <si>
    <t>COST OF GOODS SOLD (COGS)</t>
  </si>
  <si>
    <t>Difference</t>
  </si>
  <si>
    <t>[SPECIFY PRODUCT] COGS</t>
  </si>
  <si>
    <t>TOTAL COGS</t>
  </si>
  <si>
    <t>GROSS PROFIT</t>
  </si>
  <si>
    <t>[100% - COGS %]</t>
  </si>
  <si>
    <t>NON-OPERATING INCOME (NOI)</t>
  </si>
  <si>
    <t>Interest Income</t>
  </si>
  <si>
    <t>Rental Income</t>
  </si>
  <si>
    <t>Gifts Received</t>
  </si>
  <si>
    <t>Donations</t>
  </si>
  <si>
    <t>Other Income</t>
  </si>
  <si>
    <t>TOTAL NON-OPERATING INCOME</t>
  </si>
  <si>
    <t>INCOME GRAND TOTAL</t>
  </si>
  <si>
    <t>EXPENSES</t>
  </si>
  <si>
    <t>OPERATING EXPENSES (OE)</t>
  </si>
  <si>
    <t>Operation Particulars</t>
  </si>
  <si>
    <t xml:space="preserve">Accounting </t>
  </si>
  <si>
    <t>Advertising</t>
  </si>
  <si>
    <t>Depreciation</t>
  </si>
  <si>
    <t>Dues and Subscriptions</t>
  </si>
  <si>
    <t>Insurance</t>
  </si>
  <si>
    <t>Interest Expense</t>
  </si>
  <si>
    <t>Legal</t>
  </si>
  <si>
    <t>Maintenance and Repairs</t>
  </si>
  <si>
    <t>Office Supplies</t>
  </si>
  <si>
    <t xml:space="preserve">Online Marketing		</t>
  </si>
  <si>
    <t>Payroll Expenses</t>
  </si>
  <si>
    <t>Postage</t>
  </si>
  <si>
    <t>Research and Development</t>
  </si>
  <si>
    <t>Salaries and Wages</t>
  </si>
  <si>
    <t>Taxes and Licenses</t>
  </si>
  <si>
    <t>Telephone</t>
  </si>
  <si>
    <t>Travel</t>
  </si>
  <si>
    <t>Utilities</t>
  </si>
  <si>
    <t>TOTAL OPERATING EXPENSES</t>
  </si>
  <si>
    <t>NON-RECURRING EXPENSES (NRE)</t>
  </si>
  <si>
    <t>Non-Recurring Particulars</t>
  </si>
  <si>
    <t>Furnishings</t>
  </si>
  <si>
    <t>Equipment/Hardware</t>
  </si>
  <si>
    <t>Software</t>
  </si>
  <si>
    <t>Gifts Given</t>
  </si>
  <si>
    <t>Other</t>
  </si>
  <si>
    <t>TOTAL NON-RECURRING EXPENSES</t>
  </si>
  <si>
    <t>EXPENSES GRAND TOTAL</t>
  </si>
  <si>
    <t>Net Income Before Taxes</t>
  </si>
  <si>
    <t>Income Tax Expense</t>
  </si>
  <si>
    <t>NET INCOME</t>
  </si>
  <si>
    <t>SALES INCOME</t>
  </si>
  <si>
    <t>ANNUAL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</si>
</sst>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5" formatCode="&quot;$&quot;#,##0.00"/>
    <numFmt numFmtId="167" formatCode="_ * #,##0_ ;_ * \-#,##0_ ;_ * &quot;-&quot;??_ ;_ @_ "/>
  </numFmts>
  <fonts count="9" x14ac:knownFonts="1">
    <font>
      <sz val="10"/>
      <color rgb="FF000000"/>
      <name val="Arial"/>
    </font>
    <font>
      <sz val="10"/>
      <color rgb="FF000000"/>
      <name val="Arial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9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4"/>
      <color rgb="FF333333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rgb="FFF24C4C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">
    <xf numFmtId="0" fontId="0" fillId="0" borderId="0" xfId="0" applyFont="1" applyAlignment="1"/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9" fontId="2" fillId="0" borderId="2" xfId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 wrapText="1"/>
    </xf>
    <xf numFmtId="9" fontId="2" fillId="0" borderId="1" xfId="1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9" fontId="6" fillId="0" borderId="2" xfId="1" applyFont="1" applyFill="1" applyBorder="1" applyAlignment="1">
      <alignment horizontal="center" vertical="center" wrapText="1"/>
    </xf>
    <xf numFmtId="10" fontId="6" fillId="0" borderId="2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/>
    <xf numFmtId="0" fontId="6" fillId="0" borderId="1" xfId="0" applyFont="1" applyFill="1" applyBorder="1" applyAlignment="1">
      <alignment horizontal="left" vertical="center" wrapText="1"/>
    </xf>
    <xf numFmtId="165" fontId="6" fillId="0" borderId="1" xfId="0" applyNumberFormat="1" applyFont="1" applyFill="1" applyBorder="1" applyAlignment="1">
      <alignment horizontal="center" vertical="center" wrapText="1"/>
    </xf>
    <xf numFmtId="10" fontId="6" fillId="0" borderId="1" xfId="0" applyNumberFormat="1" applyFont="1" applyFill="1" applyBorder="1" applyAlignment="1">
      <alignment horizontal="center" vertical="center" wrapText="1"/>
    </xf>
    <xf numFmtId="9" fontId="6" fillId="0" borderId="1" xfId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left" vertical="center" wrapText="1" indent="1"/>
    </xf>
    <xf numFmtId="0" fontId="2" fillId="0" borderId="10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2" fillId="0" borderId="11" xfId="0" applyFont="1" applyFill="1" applyBorder="1" applyAlignment="1">
      <alignment horizontal="left" vertical="center" wrapText="1" indent="1"/>
    </xf>
    <xf numFmtId="0" fontId="6" fillId="0" borderId="10" xfId="0" applyFont="1" applyFill="1" applyBorder="1" applyAlignment="1">
      <alignment horizontal="left" vertical="center" wrapText="1" indent="1"/>
    </xf>
    <xf numFmtId="0" fontId="6" fillId="0" borderId="1" xfId="0" applyFont="1" applyFill="1" applyBorder="1" applyAlignment="1">
      <alignment horizontal="left" vertical="center" wrapText="1" indent="1"/>
    </xf>
    <xf numFmtId="0" fontId="6" fillId="0" borderId="11" xfId="0" applyFont="1" applyFill="1" applyBorder="1" applyAlignment="1">
      <alignment horizontal="left" vertical="center" wrapText="1" inden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9" xfId="0" applyFont="1" applyFill="1" applyBorder="1" applyAlignment="1">
      <alignment horizontal="left" vertical="center" wrapText="1" indent="1"/>
    </xf>
    <xf numFmtId="165" fontId="6" fillId="0" borderId="4" xfId="0" applyNumberFormat="1" applyFont="1" applyFill="1" applyBorder="1" applyAlignment="1">
      <alignment horizontal="center" vertical="center" wrapText="1"/>
    </xf>
    <xf numFmtId="165" fontId="6" fillId="0" borderId="5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 indent="1"/>
    </xf>
    <xf numFmtId="0" fontId="6" fillId="0" borderId="13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0" fontId="4" fillId="0" borderId="1" xfId="0" applyFont="1" applyFill="1" applyBorder="1" applyAlignment="1">
      <alignment horizontal="left" vertical="center" wrapText="1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167" fontId="2" fillId="0" borderId="1" xfId="2" applyNumberFormat="1" applyFont="1" applyFill="1" applyBorder="1" applyAlignment="1">
      <alignment horizontal="center" vertical="center"/>
    </xf>
    <xf numFmtId="167" fontId="6" fillId="0" borderId="2" xfId="2" applyNumberFormat="1" applyFont="1" applyFill="1" applyBorder="1" applyAlignment="1">
      <alignment horizontal="center" vertical="center" wrapText="1"/>
    </xf>
    <xf numFmtId="167" fontId="2" fillId="0" borderId="2" xfId="2" applyNumberFormat="1" applyFont="1" applyFill="1" applyBorder="1" applyAlignment="1">
      <alignment horizontal="center" vertical="center" wrapText="1"/>
    </xf>
    <xf numFmtId="167" fontId="3" fillId="0" borderId="1" xfId="2" applyNumberFormat="1" applyFont="1" applyFill="1" applyBorder="1" applyAlignment="1">
      <alignment horizontal="center" vertical="center" wrapText="1"/>
    </xf>
    <xf numFmtId="167" fontId="2" fillId="0" borderId="1" xfId="2" applyNumberFormat="1" applyFont="1" applyFill="1" applyBorder="1" applyAlignment="1">
      <alignment horizontal="center" vertical="center" wrapText="1"/>
    </xf>
    <xf numFmtId="167" fontId="2" fillId="0" borderId="3" xfId="2" applyNumberFormat="1" applyFont="1" applyFill="1" applyBorder="1" applyAlignment="1">
      <alignment horizontal="center" vertical="center" wrapText="1"/>
    </xf>
    <xf numFmtId="167" fontId="6" fillId="0" borderId="1" xfId="2" applyNumberFormat="1" applyFont="1" applyFill="1" applyBorder="1" applyAlignment="1">
      <alignment horizontal="center" vertical="center" wrapText="1"/>
    </xf>
    <xf numFmtId="167" fontId="2" fillId="0" borderId="3" xfId="2" applyNumberFormat="1" applyFont="1" applyFill="1" applyBorder="1" applyAlignment="1">
      <alignment horizontal="center" vertical="center"/>
    </xf>
    <xf numFmtId="167" fontId="6" fillId="0" borderId="4" xfId="2" applyNumberFormat="1" applyFont="1" applyFill="1" applyBorder="1" applyAlignment="1">
      <alignment horizontal="center" vertical="center" wrapText="1"/>
    </xf>
    <xf numFmtId="167" fontId="2" fillId="0" borderId="4" xfId="2" applyNumberFormat="1" applyFont="1" applyFill="1" applyBorder="1" applyAlignment="1">
      <alignment horizontal="center" vertical="center" wrapText="1"/>
    </xf>
    <xf numFmtId="167" fontId="4" fillId="0" borderId="0" xfId="2" applyNumberFormat="1" applyFont="1" applyAlignment="1">
      <alignment vertical="center"/>
    </xf>
    <xf numFmtId="167" fontId="5" fillId="0" borderId="4" xfId="2" applyNumberFormat="1" applyFont="1" applyFill="1" applyBorder="1" applyAlignment="1">
      <alignment horizontal="center" vertical="center" wrapText="1"/>
    </xf>
    <xf numFmtId="167" fontId="5" fillId="0" borderId="2" xfId="2" applyNumberFormat="1" applyFont="1" applyFill="1" applyBorder="1" applyAlignment="1">
      <alignment horizontal="center" vertical="center" wrapText="1"/>
    </xf>
    <xf numFmtId="167" fontId="6" fillId="0" borderId="4" xfId="2" applyNumberFormat="1" applyFont="1" applyFill="1" applyBorder="1" applyAlignment="1">
      <alignment horizontal="center" vertical="center" wrapText="1"/>
    </xf>
    <xf numFmtId="167" fontId="6" fillId="0" borderId="5" xfId="2" applyNumberFormat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24C4C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1185767</xdr:colOff>
      <xdr:row>41</xdr:row>
      <xdr:rowOff>19438</xdr:rowOff>
    </xdr:from>
    <xdr:to>
      <xdr:col>5</xdr:col>
      <xdr:colOff>2564801</xdr:colOff>
      <xdr:row>43</xdr:row>
      <xdr:rowOff>144784</xdr:rowOff>
    </xdr:to>
    <xdr:sp macro="" textlink="">
      <xdr:nvSpPr>
        <xdr:cNvPr id="2" name="Rectangle 1"/>
        <xdr:cNvSpPr/>
      </xdr:nvSpPr>
      <xdr:spPr>
        <a:xfrm>
          <a:off x="14598522" y="9291734"/>
          <a:ext cx="1379034" cy="45580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1185760</xdr:colOff>
      <xdr:row>86</xdr:row>
      <xdr:rowOff>19438</xdr:rowOff>
    </xdr:from>
    <xdr:to>
      <xdr:col>5</xdr:col>
      <xdr:colOff>2564794</xdr:colOff>
      <xdr:row>88</xdr:row>
      <xdr:rowOff>144783</xdr:rowOff>
    </xdr:to>
    <xdr:sp macro="" textlink="">
      <xdr:nvSpPr>
        <xdr:cNvPr id="3" name="Rectangle 2"/>
        <xdr:cNvSpPr/>
      </xdr:nvSpPr>
      <xdr:spPr>
        <a:xfrm>
          <a:off x="14598515" y="21985254"/>
          <a:ext cx="1379034" cy="45580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view="pageBreakPreview" zoomScale="85" zoomScaleNormal="115" zoomScaleSheetLayoutView="85" workbookViewId="0">
      <selection activeCell="E76" sqref="E76"/>
    </sheetView>
  </sheetViews>
  <sheetFormatPr defaultColWidth="14.44140625" defaultRowHeight="15" customHeight="1" x14ac:dyDescent="0.3"/>
  <cols>
    <col min="1" max="1" width="29" style="11" customWidth="1"/>
    <col min="2" max="2" width="13.5546875" style="65" customWidth="1"/>
    <col min="3" max="3" width="16.6640625" style="6" customWidth="1"/>
    <col min="4" max="4" width="13.88671875" style="65" customWidth="1"/>
    <col min="5" max="5" width="17" style="6" customWidth="1"/>
    <col min="6" max="6" width="13" style="65" customWidth="1"/>
    <col min="7" max="16" width="14.44140625" style="2" customWidth="1"/>
    <col min="17" max="16384" width="14.44140625" style="2"/>
  </cols>
  <sheetData>
    <row r="1" spans="1:16" ht="30" customHeight="1" x14ac:dyDescent="0.3">
      <c r="A1" s="58" t="s">
        <v>56</v>
      </c>
      <c r="B1" s="58"/>
      <c r="C1" s="58"/>
      <c r="D1" s="58"/>
      <c r="E1" s="58"/>
      <c r="F1" s="58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 x14ac:dyDescent="0.3">
      <c r="A2" s="58"/>
      <c r="B2" s="58"/>
      <c r="C2" s="58"/>
      <c r="D2" s="58"/>
      <c r="E2" s="58"/>
      <c r="F2" s="58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 x14ac:dyDescent="0.3">
      <c r="A3" s="10"/>
      <c r="J3" s="1"/>
      <c r="K3" s="1"/>
      <c r="L3" s="1"/>
      <c r="M3" s="1"/>
      <c r="N3" s="1"/>
      <c r="O3" s="1"/>
      <c r="P3" s="1"/>
    </row>
    <row r="4" spans="1:16" ht="22.5" customHeight="1" x14ac:dyDescent="0.3">
      <c r="A4" s="55" t="s">
        <v>0</v>
      </c>
      <c r="B4" s="55"/>
      <c r="C4" s="55"/>
      <c r="D4" s="55"/>
      <c r="E4" s="55"/>
      <c r="F4" s="55"/>
      <c r="J4" s="1"/>
      <c r="K4" s="1"/>
      <c r="L4" s="1"/>
      <c r="M4" s="1"/>
      <c r="N4" s="1"/>
      <c r="O4" s="1"/>
      <c r="P4" s="1"/>
    </row>
    <row r="5" spans="1:16" ht="8.25" customHeight="1" x14ac:dyDescent="0.3">
      <c r="A5" s="10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4.9" customHeight="1" x14ac:dyDescent="0.3">
      <c r="A6" s="57" t="s">
        <v>55</v>
      </c>
      <c r="B6" s="57"/>
      <c r="C6" s="57"/>
      <c r="D6" s="57"/>
      <c r="E6" s="57"/>
      <c r="F6" s="57"/>
    </row>
    <row r="7" spans="1:16" s="5" customFormat="1" ht="36" customHeight="1" x14ac:dyDescent="0.25">
      <c r="A7" s="34" t="s">
        <v>1</v>
      </c>
      <c r="B7" s="66" t="s">
        <v>2</v>
      </c>
      <c r="C7" s="22" t="s">
        <v>3</v>
      </c>
      <c r="D7" s="66" t="s">
        <v>4</v>
      </c>
      <c r="E7" s="22" t="s">
        <v>3</v>
      </c>
      <c r="F7" s="66" t="s">
        <v>8</v>
      </c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0.100000000000001" customHeight="1" x14ac:dyDescent="0.3">
      <c r="A8" s="35" t="s">
        <v>5</v>
      </c>
      <c r="B8" s="67">
        <v>500</v>
      </c>
      <c r="C8" s="8">
        <f>(B8/B13)</f>
        <v>0.32679738562091504</v>
      </c>
      <c r="D8" s="67">
        <v>505</v>
      </c>
      <c r="E8" s="9">
        <f>(D8/D13)</f>
        <v>0.23433874709976799</v>
      </c>
      <c r="F8" s="67">
        <f>(D8-B8)</f>
        <v>5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0.100000000000001" customHeight="1" x14ac:dyDescent="0.3">
      <c r="A9" s="35" t="s">
        <v>5</v>
      </c>
      <c r="B9" s="67">
        <v>200</v>
      </c>
      <c r="C9" s="8">
        <f>(B9/B13)</f>
        <v>0.13071895424836602</v>
      </c>
      <c r="D9" s="67">
        <v>250</v>
      </c>
      <c r="E9" s="9">
        <f>(D9/D13)</f>
        <v>0.11600928074245939</v>
      </c>
      <c r="F9" s="67">
        <f t="shared" ref="F9:F12" si="0">(D9-B9)</f>
        <v>50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0.100000000000001" customHeight="1" x14ac:dyDescent="0.3">
      <c r="A10" s="35" t="s">
        <v>5</v>
      </c>
      <c r="B10" s="67">
        <v>250</v>
      </c>
      <c r="C10" s="8">
        <f>(B10/B13)</f>
        <v>0.16339869281045752</v>
      </c>
      <c r="D10" s="67">
        <v>300</v>
      </c>
      <c r="E10" s="9">
        <f>(D10/D13)</f>
        <v>0.13921113689095127</v>
      </c>
      <c r="F10" s="67">
        <f t="shared" si="0"/>
        <v>50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0.100000000000001" customHeight="1" x14ac:dyDescent="0.3">
      <c r="A11" s="35" t="s">
        <v>5</v>
      </c>
      <c r="B11" s="67">
        <v>300</v>
      </c>
      <c r="C11" s="8">
        <f>(B11/B13)</f>
        <v>0.19607843137254902</v>
      </c>
      <c r="D11" s="67">
        <v>580</v>
      </c>
      <c r="E11" s="9">
        <f>(D11/D13)</f>
        <v>0.26914153132250579</v>
      </c>
      <c r="F11" s="67">
        <f t="shared" si="0"/>
        <v>280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0.100000000000001" customHeight="1" x14ac:dyDescent="0.3">
      <c r="A12" s="35" t="s">
        <v>5</v>
      </c>
      <c r="B12" s="67">
        <v>280</v>
      </c>
      <c r="C12" s="8">
        <f>(B12/B13)</f>
        <v>0.18300653594771241</v>
      </c>
      <c r="D12" s="67">
        <v>520</v>
      </c>
      <c r="E12" s="9">
        <f>(D12/D13)</f>
        <v>0.24129930394431554</v>
      </c>
      <c r="F12" s="67">
        <f t="shared" si="0"/>
        <v>240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s="26" customFormat="1" ht="21.9" customHeight="1" x14ac:dyDescent="0.25">
      <c r="A13" s="34" t="s">
        <v>6</v>
      </c>
      <c r="B13" s="66">
        <f>SUM(B8:B12)</f>
        <v>1530</v>
      </c>
      <c r="C13" s="23">
        <f>SUM(C8:C12)</f>
        <v>1</v>
      </c>
      <c r="D13" s="66">
        <f>SUM(D8:D12)</f>
        <v>2155</v>
      </c>
      <c r="E13" s="24">
        <f>SUM(E8:E12)</f>
        <v>1</v>
      </c>
      <c r="F13" s="66">
        <f>SUM(F8:F12)</f>
        <v>625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 s="6" customFormat="1" ht="15.75" customHeight="1" x14ac:dyDescent="0.25">
      <c r="A14" s="10"/>
      <c r="B14" s="68"/>
      <c r="C14" s="17"/>
      <c r="D14" s="68"/>
      <c r="E14" s="19"/>
      <c r="F14" s="68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5.75" customHeight="1" x14ac:dyDescent="0.3"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4.9" customHeight="1" x14ac:dyDescent="0.3">
      <c r="A16" s="56" t="s">
        <v>7</v>
      </c>
      <c r="B16" s="56"/>
      <c r="C16" s="56"/>
      <c r="D16" s="56"/>
      <c r="E16" s="56"/>
      <c r="F16" s="56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s="28" customFormat="1" ht="37.5" customHeight="1" x14ac:dyDescent="0.3">
      <c r="A17" s="34" t="s">
        <v>1</v>
      </c>
      <c r="B17" s="66" t="s">
        <v>2</v>
      </c>
      <c r="C17" s="22" t="s">
        <v>3</v>
      </c>
      <c r="D17" s="66" t="s">
        <v>4</v>
      </c>
      <c r="E17" s="22" t="s">
        <v>3</v>
      </c>
      <c r="F17" s="66" t="s">
        <v>8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16" ht="20.100000000000001" customHeight="1" x14ac:dyDescent="0.3">
      <c r="A18" s="35" t="s">
        <v>9</v>
      </c>
      <c r="B18" s="67">
        <v>250</v>
      </c>
      <c r="C18" s="8">
        <f>(B18/B23)</f>
        <v>0.2</v>
      </c>
      <c r="D18" s="67">
        <v>300</v>
      </c>
      <c r="E18" s="8">
        <f>(D18/D23)</f>
        <v>0.189873417721519</v>
      </c>
      <c r="F18" s="67">
        <f>(D18-B18)</f>
        <v>50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0.100000000000001" customHeight="1" x14ac:dyDescent="0.3">
      <c r="A19" s="35" t="s">
        <v>9</v>
      </c>
      <c r="B19" s="67">
        <v>250</v>
      </c>
      <c r="C19" s="8">
        <f>(B19/B23)</f>
        <v>0.2</v>
      </c>
      <c r="D19" s="67">
        <v>300</v>
      </c>
      <c r="E19" s="8">
        <f>(D19/D23)</f>
        <v>0.189873417721519</v>
      </c>
      <c r="F19" s="67">
        <f t="shared" ref="F19:F22" si="1">(D19-B19)</f>
        <v>50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0.100000000000001" customHeight="1" x14ac:dyDescent="0.3">
      <c r="A20" s="35" t="s">
        <v>9</v>
      </c>
      <c r="B20" s="67">
        <v>200</v>
      </c>
      <c r="C20" s="8">
        <f>(B20/B23)</f>
        <v>0.16</v>
      </c>
      <c r="D20" s="67">
        <v>250</v>
      </c>
      <c r="E20" s="8">
        <f>(D20/D23)</f>
        <v>0.15822784810126583</v>
      </c>
      <c r="F20" s="67">
        <f t="shared" si="1"/>
        <v>50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0.100000000000001" customHeight="1" x14ac:dyDescent="0.3">
      <c r="A21" s="35" t="s">
        <v>9</v>
      </c>
      <c r="B21" s="67">
        <v>300</v>
      </c>
      <c r="C21" s="8">
        <f>(B21/B23)</f>
        <v>0.24</v>
      </c>
      <c r="D21" s="67">
        <v>380</v>
      </c>
      <c r="E21" s="8">
        <f>(D21/D23)</f>
        <v>0.24050632911392406</v>
      </c>
      <c r="F21" s="67">
        <f t="shared" si="1"/>
        <v>80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0.100000000000001" customHeight="1" x14ac:dyDescent="0.3">
      <c r="A22" s="35" t="s">
        <v>9</v>
      </c>
      <c r="B22" s="67">
        <v>250</v>
      </c>
      <c r="C22" s="8">
        <f>(B22/B23)</f>
        <v>0.2</v>
      </c>
      <c r="D22" s="67">
        <v>350</v>
      </c>
      <c r="E22" s="8">
        <f>(D22/D23)</f>
        <v>0.22151898734177214</v>
      </c>
      <c r="F22" s="67">
        <f t="shared" si="1"/>
        <v>100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s="28" customFormat="1" ht="20.25" customHeight="1" x14ac:dyDescent="0.3">
      <c r="A23" s="34" t="s">
        <v>10</v>
      </c>
      <c r="B23" s="66">
        <f>SUM(B18:B22)</f>
        <v>1250</v>
      </c>
      <c r="C23" s="23">
        <f>SUM(C18:C22)</f>
        <v>1</v>
      </c>
      <c r="D23" s="66">
        <f>SUM(D18:D22)</f>
        <v>1580</v>
      </c>
      <c r="E23" s="23">
        <f>SUM(E18:E22)</f>
        <v>0.99999999999999989</v>
      </c>
      <c r="F23" s="66">
        <f>SUM(F18:F22)</f>
        <v>330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ht="15.75" customHeight="1" x14ac:dyDescent="0.3">
      <c r="A24" s="10"/>
      <c r="B24" s="68"/>
      <c r="C24" s="17"/>
      <c r="D24" s="68"/>
      <c r="E24" s="18"/>
      <c r="F24" s="68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.75" customHeight="1" x14ac:dyDescent="0.3">
      <c r="A25" s="12"/>
      <c r="B25" s="69"/>
      <c r="C25" s="4"/>
      <c r="D25" s="69"/>
      <c r="E25" s="4"/>
      <c r="F25" s="69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s="26" customFormat="1" ht="35.1" customHeight="1" x14ac:dyDescent="0.25">
      <c r="A26" s="34" t="s">
        <v>11</v>
      </c>
      <c r="B26" s="66">
        <f>(B13-B23)</f>
        <v>280</v>
      </c>
      <c r="C26" s="22" t="s">
        <v>12</v>
      </c>
      <c r="D26" s="66">
        <f>(D13-D23)</f>
        <v>575</v>
      </c>
      <c r="E26" s="22" t="s">
        <v>12</v>
      </c>
      <c r="F26" s="66">
        <f>(F13-F23)</f>
        <v>295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 s="6" customFormat="1" ht="15.75" customHeight="1" x14ac:dyDescent="0.25">
      <c r="A27" s="10"/>
      <c r="B27" s="68"/>
      <c r="C27" s="7"/>
      <c r="D27" s="68"/>
      <c r="E27" s="7"/>
      <c r="F27" s="68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15.75" customHeight="1" x14ac:dyDescent="0.3"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4.9" customHeight="1" x14ac:dyDescent="0.3">
      <c r="A29" s="56" t="s">
        <v>13</v>
      </c>
      <c r="B29" s="56"/>
      <c r="C29" s="56"/>
      <c r="D29" s="56"/>
      <c r="E29" s="56"/>
      <c r="F29" s="56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s="28" customFormat="1" ht="21.9" customHeight="1" x14ac:dyDescent="0.3">
      <c r="A30" s="42" t="s">
        <v>1</v>
      </c>
      <c r="B30" s="43"/>
      <c r="C30" s="44"/>
      <c r="D30" s="73" t="s">
        <v>2</v>
      </c>
      <c r="E30" s="33" t="s">
        <v>4</v>
      </c>
      <c r="F30" s="66" t="s">
        <v>8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ht="20.100000000000001" customHeight="1" x14ac:dyDescent="0.3">
      <c r="A31" s="36" t="s">
        <v>14</v>
      </c>
      <c r="B31" s="37"/>
      <c r="C31" s="38"/>
      <c r="D31" s="74">
        <v>125</v>
      </c>
      <c r="E31" s="74">
        <v>150</v>
      </c>
      <c r="F31" s="67">
        <f>(E31-D31)</f>
        <v>25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0.100000000000001" customHeight="1" x14ac:dyDescent="0.3">
      <c r="A32" s="36" t="s">
        <v>15</v>
      </c>
      <c r="B32" s="37"/>
      <c r="C32" s="38"/>
      <c r="D32" s="74">
        <v>100</v>
      </c>
      <c r="E32" s="74">
        <v>150</v>
      </c>
      <c r="F32" s="67">
        <f>(E32-D32)</f>
        <v>50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0.100000000000001" customHeight="1" x14ac:dyDescent="0.3">
      <c r="A33" s="36" t="s">
        <v>16</v>
      </c>
      <c r="B33" s="37"/>
      <c r="C33" s="38"/>
      <c r="D33" s="74">
        <v>123</v>
      </c>
      <c r="E33" s="74">
        <v>150</v>
      </c>
      <c r="F33" s="67">
        <f>(E33-D33)</f>
        <v>27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0.100000000000001" customHeight="1" x14ac:dyDescent="0.3">
      <c r="A34" s="36" t="s">
        <v>17</v>
      </c>
      <c r="B34" s="37"/>
      <c r="C34" s="38"/>
      <c r="D34" s="74">
        <v>100</v>
      </c>
      <c r="E34" s="74">
        <v>100</v>
      </c>
      <c r="F34" s="67">
        <f>(E34-D34)</f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0.100000000000001" customHeight="1" x14ac:dyDescent="0.3">
      <c r="A35" s="36" t="s">
        <v>18</v>
      </c>
      <c r="B35" s="37"/>
      <c r="C35" s="38"/>
      <c r="D35" s="74">
        <v>100</v>
      </c>
      <c r="E35" s="74">
        <v>150</v>
      </c>
      <c r="F35" s="67">
        <f>(E35-D35)</f>
        <v>50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s="28" customFormat="1" ht="33" customHeight="1" x14ac:dyDescent="0.3">
      <c r="A36" s="39" t="s">
        <v>19</v>
      </c>
      <c r="B36" s="40"/>
      <c r="C36" s="41"/>
      <c r="D36" s="73">
        <f>SUM(D31:D35)</f>
        <v>548</v>
      </c>
      <c r="E36" s="73">
        <f>SUM(E31:E35)</f>
        <v>700</v>
      </c>
      <c r="F36" s="66">
        <f>SUM(F31:F35)</f>
        <v>152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spans="1:16" ht="18.75" customHeight="1" x14ac:dyDescent="0.3">
      <c r="A37" s="10"/>
      <c r="B37" s="68"/>
      <c r="C37" s="7"/>
      <c r="D37" s="68"/>
      <c r="E37" s="7"/>
      <c r="F37" s="68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3">
      <c r="A38" s="12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9.25" customHeight="1" x14ac:dyDescent="0.3">
      <c r="A39" s="34" t="s">
        <v>20</v>
      </c>
      <c r="B39" s="45">
        <f>(B13+B23+D36)</f>
        <v>3328</v>
      </c>
      <c r="C39" s="46"/>
      <c r="D39" s="78">
        <f>(D13+D23+E36)</f>
        <v>4435</v>
      </c>
      <c r="E39" s="79"/>
      <c r="F39" s="66">
        <f>(F13+F23+F36)</f>
        <v>1107</v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0.25" customHeight="1" x14ac:dyDescent="0.3">
      <c r="A40" s="12"/>
      <c r="B40" s="69"/>
      <c r="C40" s="4"/>
      <c r="D40" s="69"/>
      <c r="E40" s="4"/>
      <c r="F40" s="69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s="5" customFormat="1" ht="15" customHeight="1" x14ac:dyDescent="0.25">
      <c r="A41" s="15"/>
      <c r="B41" s="70"/>
      <c r="C41" s="16"/>
      <c r="D41" s="70"/>
      <c r="E41" s="16"/>
      <c r="F41" s="70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s="5" customFormat="1" ht="15" customHeight="1" x14ac:dyDescent="0.25">
      <c r="A42" s="51"/>
      <c r="B42" s="51"/>
      <c r="C42" s="4"/>
      <c r="D42" s="69"/>
      <c r="E42" s="4"/>
      <c r="F42" s="69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s="5" customFormat="1" ht="15" customHeight="1" x14ac:dyDescent="0.25">
      <c r="A43" s="52"/>
      <c r="B43" s="52"/>
      <c r="C43" s="13"/>
      <c r="D43" s="75"/>
      <c r="E43" s="13"/>
      <c r="F43" s="65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s="5" customFormat="1" ht="15" customHeight="1" x14ac:dyDescent="0.25">
      <c r="A44" s="53"/>
      <c r="B44" s="53"/>
      <c r="C44" s="14"/>
      <c r="D44" s="75"/>
      <c r="E44" s="14"/>
      <c r="F44" s="65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s="3" customFormat="1" ht="27.9" customHeight="1" x14ac:dyDescent="0.25">
      <c r="A45" s="54" t="s">
        <v>21</v>
      </c>
      <c r="B45" s="54"/>
      <c r="C45" s="54"/>
      <c r="D45" s="54"/>
      <c r="E45" s="54"/>
      <c r="F45" s="54"/>
    </row>
    <row r="46" spans="1:16" ht="9" customHeight="1" x14ac:dyDescent="0.3">
      <c r="A46" s="10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1.75" customHeight="1" x14ac:dyDescent="0.3">
      <c r="A47" s="56" t="s">
        <v>22</v>
      </c>
      <c r="B47" s="56"/>
      <c r="C47" s="56"/>
      <c r="D47" s="56"/>
      <c r="E47" s="56"/>
      <c r="F47" s="56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s="28" customFormat="1" ht="31.5" customHeight="1" x14ac:dyDescent="0.3">
      <c r="A48" s="34" t="s">
        <v>23</v>
      </c>
      <c r="B48" s="66" t="s">
        <v>2</v>
      </c>
      <c r="C48" s="22" t="s">
        <v>3</v>
      </c>
      <c r="D48" s="66" t="s">
        <v>4</v>
      </c>
      <c r="E48" s="22" t="s">
        <v>3</v>
      </c>
      <c r="F48" s="66" t="s">
        <v>8</v>
      </c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ht="20.100000000000001" customHeight="1" x14ac:dyDescent="0.3">
      <c r="A49" s="35" t="s">
        <v>24</v>
      </c>
      <c r="B49" s="67">
        <v>36</v>
      </c>
      <c r="C49" s="9">
        <f>(B49/B67)</f>
        <v>3.2967032967032968E-2</v>
      </c>
      <c r="D49" s="67">
        <v>36</v>
      </c>
      <c r="E49" s="8">
        <f>(D49/D67)</f>
        <v>3.0874785591766724E-2</v>
      </c>
      <c r="F49" s="67">
        <f>(D49-B49)</f>
        <v>0</v>
      </c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0.100000000000001" customHeight="1" x14ac:dyDescent="0.3">
      <c r="A50" s="35" t="s">
        <v>25</v>
      </c>
      <c r="B50" s="67">
        <v>32</v>
      </c>
      <c r="C50" s="9">
        <f>(B50/B67)</f>
        <v>2.9304029304029304E-2</v>
      </c>
      <c r="D50" s="67">
        <v>40</v>
      </c>
      <c r="E50" s="8">
        <f>(D50/D67)</f>
        <v>3.430531732418525E-2</v>
      </c>
      <c r="F50" s="67">
        <f t="shared" ref="F50:F66" si="2">(D50-B50)</f>
        <v>8</v>
      </c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0.100000000000001" customHeight="1" x14ac:dyDescent="0.3">
      <c r="A51" s="35" t="s">
        <v>26</v>
      </c>
      <c r="B51" s="67">
        <v>32</v>
      </c>
      <c r="C51" s="9">
        <f>(B51/B67)</f>
        <v>2.9304029304029304E-2</v>
      </c>
      <c r="D51" s="67">
        <v>32</v>
      </c>
      <c r="E51" s="8">
        <f>(D51/D67)</f>
        <v>2.7444253859348199E-2</v>
      </c>
      <c r="F51" s="67">
        <f t="shared" si="2"/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0.100000000000001" customHeight="1" x14ac:dyDescent="0.3">
      <c r="A52" s="35" t="s">
        <v>27</v>
      </c>
      <c r="B52" s="67">
        <v>65</v>
      </c>
      <c r="C52" s="9">
        <f>(B52/B67)</f>
        <v>5.9523809523809521E-2</v>
      </c>
      <c r="D52" s="67">
        <v>65</v>
      </c>
      <c r="E52" s="8">
        <f>(D52/D67)</f>
        <v>5.5746140651801029E-2</v>
      </c>
      <c r="F52" s="67">
        <f t="shared" si="2"/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0.100000000000001" customHeight="1" x14ac:dyDescent="0.3">
      <c r="A53" s="35" t="s">
        <v>28</v>
      </c>
      <c r="B53" s="67">
        <v>62</v>
      </c>
      <c r="C53" s="9">
        <f>(B53/B67)</f>
        <v>5.6776556776556776E-2</v>
      </c>
      <c r="D53" s="67">
        <v>62</v>
      </c>
      <c r="E53" s="8">
        <f>(D53/D67)</f>
        <v>5.3173241852487133E-2</v>
      </c>
      <c r="F53" s="67">
        <f t="shared" si="2"/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0.100000000000001" customHeight="1" x14ac:dyDescent="0.3">
      <c r="A54" s="35" t="s">
        <v>29</v>
      </c>
      <c r="B54" s="67">
        <v>250</v>
      </c>
      <c r="C54" s="9">
        <f>(B54/B67)</f>
        <v>0.22893772893772893</v>
      </c>
      <c r="D54" s="67">
        <v>322</v>
      </c>
      <c r="E54" s="8">
        <f>(D54/D67)</f>
        <v>0.27615780445969124</v>
      </c>
      <c r="F54" s="67">
        <f t="shared" si="2"/>
        <v>72</v>
      </c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0.100000000000001" customHeight="1" x14ac:dyDescent="0.3">
      <c r="A55" s="35" t="s">
        <v>30</v>
      </c>
      <c r="B55" s="67">
        <v>69</v>
      </c>
      <c r="C55" s="9">
        <f>(B55/B67)</f>
        <v>6.3186813186813184E-2</v>
      </c>
      <c r="D55" s="67">
        <v>69</v>
      </c>
      <c r="E55" s="8">
        <f>(D55/D67)</f>
        <v>5.9176672384219552E-2</v>
      </c>
      <c r="F55" s="67">
        <f t="shared" si="2"/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0.100000000000001" customHeight="1" x14ac:dyDescent="0.3">
      <c r="A56" s="35" t="s">
        <v>31</v>
      </c>
      <c r="B56" s="67">
        <v>66</v>
      </c>
      <c r="C56" s="9">
        <f>(B56/B67)</f>
        <v>6.043956043956044E-2</v>
      </c>
      <c r="D56" s="67">
        <v>21</v>
      </c>
      <c r="E56" s="8">
        <f>(D56/D67)</f>
        <v>1.8010291595197257E-2</v>
      </c>
      <c r="F56" s="67">
        <f t="shared" si="2"/>
        <v>-45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0.100000000000001" customHeight="1" x14ac:dyDescent="0.3">
      <c r="A57" s="35" t="s">
        <v>32</v>
      </c>
      <c r="B57" s="67">
        <v>65</v>
      </c>
      <c r="C57" s="9">
        <f>(B57/B67)</f>
        <v>5.9523809523809521E-2</v>
      </c>
      <c r="D57" s="67">
        <v>65</v>
      </c>
      <c r="E57" s="8">
        <f>(D57/D67)</f>
        <v>5.5746140651801029E-2</v>
      </c>
      <c r="F57" s="67">
        <f t="shared" si="2"/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0.100000000000001" customHeight="1" x14ac:dyDescent="0.3">
      <c r="A58" s="35" t="s">
        <v>33</v>
      </c>
      <c r="B58" s="67">
        <v>85</v>
      </c>
      <c r="C58" s="9">
        <f>(B58/B67)</f>
        <v>7.783882783882784E-2</v>
      </c>
      <c r="D58" s="67">
        <v>85</v>
      </c>
      <c r="E58" s="8">
        <f>(D58/D67)</f>
        <v>7.2898799313893647E-2</v>
      </c>
      <c r="F58" s="67">
        <f t="shared" si="2"/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0.100000000000001" customHeight="1" x14ac:dyDescent="0.3">
      <c r="A59" s="35" t="s">
        <v>34</v>
      </c>
      <c r="B59" s="67">
        <v>24</v>
      </c>
      <c r="C59" s="9">
        <f>(B59/B67)</f>
        <v>2.197802197802198E-2</v>
      </c>
      <c r="D59" s="67">
        <v>24</v>
      </c>
      <c r="E59" s="8">
        <f>(D59/D67)</f>
        <v>2.0583190394511151E-2</v>
      </c>
      <c r="F59" s="67">
        <f t="shared" si="2"/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0.100000000000001" customHeight="1" x14ac:dyDescent="0.3">
      <c r="A60" s="35" t="s">
        <v>35</v>
      </c>
      <c r="B60" s="67">
        <v>32</v>
      </c>
      <c r="C60" s="9">
        <f>(B60/B67)</f>
        <v>2.9304029304029304E-2</v>
      </c>
      <c r="D60" s="67">
        <v>32</v>
      </c>
      <c r="E60" s="8">
        <f>(D60/D67)</f>
        <v>2.7444253859348199E-2</v>
      </c>
      <c r="F60" s="67">
        <f t="shared" si="2"/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0.100000000000001" customHeight="1" x14ac:dyDescent="0.3">
      <c r="A61" s="35" t="s">
        <v>36</v>
      </c>
      <c r="B61" s="67">
        <v>55</v>
      </c>
      <c r="C61" s="9">
        <f>(B61/B67)</f>
        <v>5.0366300366300368E-2</v>
      </c>
      <c r="D61" s="67">
        <v>21</v>
      </c>
      <c r="E61" s="8">
        <f>(D61/D67)</f>
        <v>1.8010291595197257E-2</v>
      </c>
      <c r="F61" s="67">
        <f t="shared" si="2"/>
        <v>-34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0.100000000000001" customHeight="1" x14ac:dyDescent="0.3">
      <c r="A62" s="35" t="s">
        <v>37</v>
      </c>
      <c r="B62" s="67">
        <v>23</v>
      </c>
      <c r="C62" s="9">
        <f>(B62/B67)</f>
        <v>2.1062271062271064E-2</v>
      </c>
      <c r="D62" s="67">
        <v>54</v>
      </c>
      <c r="E62" s="8">
        <f>(D62/D67)</f>
        <v>4.6312178387650088E-2</v>
      </c>
      <c r="F62" s="67">
        <f t="shared" si="2"/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0.100000000000001" customHeight="1" x14ac:dyDescent="0.3">
      <c r="A63" s="35" t="s">
        <v>38</v>
      </c>
      <c r="B63" s="67">
        <v>62</v>
      </c>
      <c r="C63" s="9">
        <f>(B63/B67)</f>
        <v>5.6776556776556776E-2</v>
      </c>
      <c r="D63" s="67">
        <v>94</v>
      </c>
      <c r="E63" s="8">
        <f>(D63/D67)</f>
        <v>8.0617495711835338E-2</v>
      </c>
      <c r="F63" s="67">
        <f t="shared" si="2"/>
        <v>32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0.100000000000001" customHeight="1" x14ac:dyDescent="0.3">
      <c r="A64" s="35" t="s">
        <v>39</v>
      </c>
      <c r="B64" s="67">
        <v>55</v>
      </c>
      <c r="C64" s="9">
        <f>(B64/B67)</f>
        <v>5.0366300366300368E-2</v>
      </c>
      <c r="D64" s="67">
        <v>23</v>
      </c>
      <c r="E64" s="8">
        <f>(D64/D67)</f>
        <v>1.9725557461406518E-2</v>
      </c>
      <c r="F64" s="67">
        <f t="shared" si="2"/>
        <v>-32</v>
      </c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0.100000000000001" customHeight="1" x14ac:dyDescent="0.3">
      <c r="A65" s="35" t="s">
        <v>40</v>
      </c>
      <c r="B65" s="67">
        <v>32</v>
      </c>
      <c r="C65" s="9">
        <f>(B65/B67)</f>
        <v>2.9304029304029304E-2</v>
      </c>
      <c r="D65" s="67">
        <v>74</v>
      </c>
      <c r="E65" s="8">
        <f>(D65/D67)</f>
        <v>6.3464837049742706E-2</v>
      </c>
      <c r="F65" s="67">
        <f t="shared" si="2"/>
        <v>42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0.100000000000001" customHeight="1" x14ac:dyDescent="0.3">
      <c r="A66" s="35" t="s">
        <v>41</v>
      </c>
      <c r="B66" s="67">
        <v>47</v>
      </c>
      <c r="C66" s="9">
        <f>(B66/B67)</f>
        <v>4.304029304029304E-2</v>
      </c>
      <c r="D66" s="67">
        <v>47</v>
      </c>
      <c r="E66" s="8">
        <f>(D66/D67)</f>
        <v>4.0308747855917669E-2</v>
      </c>
      <c r="F66" s="67">
        <f t="shared" si="2"/>
        <v>0</v>
      </c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s="28" customFormat="1" ht="36" customHeight="1" x14ac:dyDescent="0.3">
      <c r="A67" s="34" t="s">
        <v>42</v>
      </c>
      <c r="B67" s="66">
        <f>SUM(B49:B66)</f>
        <v>1092</v>
      </c>
      <c r="C67" s="24">
        <f>SUM(C49:C66)</f>
        <v>1.0000000000000002</v>
      </c>
      <c r="D67" s="66">
        <f>SUM(D49:D66)</f>
        <v>1166</v>
      </c>
      <c r="E67" s="23">
        <f>SUM(E49:E66)</f>
        <v>1.0000000000000002</v>
      </c>
      <c r="F67" s="66">
        <f>SUM(F49:F66)</f>
        <v>74</v>
      </c>
      <c r="G67" s="27"/>
      <c r="H67" s="27"/>
      <c r="I67" s="27"/>
      <c r="J67" s="27"/>
      <c r="K67" s="27"/>
      <c r="L67" s="27"/>
      <c r="M67" s="27"/>
      <c r="N67" s="27"/>
      <c r="O67" s="27"/>
      <c r="P67" s="27"/>
    </row>
    <row r="68" spans="1:16" s="28" customFormat="1" ht="15.75" customHeight="1" x14ac:dyDescent="0.3">
      <c r="A68" s="29"/>
      <c r="B68" s="71"/>
      <c r="C68" s="31"/>
      <c r="D68" s="71"/>
      <c r="E68" s="32"/>
      <c r="F68" s="71"/>
      <c r="G68" s="27"/>
      <c r="H68" s="27"/>
      <c r="I68" s="27"/>
      <c r="J68" s="27"/>
      <c r="K68" s="27"/>
      <c r="L68" s="27"/>
      <c r="M68" s="27"/>
      <c r="N68" s="27"/>
      <c r="O68" s="27"/>
      <c r="P68" s="27"/>
    </row>
    <row r="69" spans="1:16" ht="15.75" customHeight="1" x14ac:dyDescent="0.3">
      <c r="A69" s="12"/>
      <c r="B69" s="69"/>
      <c r="C69" s="4"/>
      <c r="D69" s="69"/>
      <c r="E69" s="4"/>
      <c r="F69" s="69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4.9" customHeight="1" x14ac:dyDescent="0.3">
      <c r="A70" s="56" t="s">
        <v>43</v>
      </c>
      <c r="B70" s="56"/>
      <c r="C70" s="56"/>
      <c r="D70" s="56"/>
      <c r="E70" s="56"/>
      <c r="F70" s="56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s="28" customFormat="1" ht="21.9" customHeight="1" x14ac:dyDescent="0.3">
      <c r="A71" s="42" t="s">
        <v>44</v>
      </c>
      <c r="B71" s="43"/>
      <c r="C71" s="44"/>
      <c r="D71" s="73" t="s">
        <v>2</v>
      </c>
      <c r="E71" s="73" t="s">
        <v>4</v>
      </c>
      <c r="F71" s="66" t="s">
        <v>8</v>
      </c>
      <c r="G71" s="27"/>
      <c r="H71" s="27"/>
      <c r="I71" s="27"/>
      <c r="J71" s="27"/>
      <c r="K71" s="27"/>
      <c r="L71" s="27"/>
      <c r="M71" s="27"/>
      <c r="N71" s="27"/>
      <c r="O71" s="27"/>
      <c r="P71" s="27"/>
    </row>
    <row r="72" spans="1:16" ht="20.100000000000001" customHeight="1" x14ac:dyDescent="0.3">
      <c r="A72" s="36" t="s">
        <v>45</v>
      </c>
      <c r="B72" s="37"/>
      <c r="C72" s="38"/>
      <c r="D72" s="74">
        <v>52</v>
      </c>
      <c r="E72" s="74">
        <v>64</v>
      </c>
      <c r="F72" s="67">
        <f>(E72-D72)</f>
        <v>12</v>
      </c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0.100000000000001" customHeight="1" x14ac:dyDescent="0.3">
      <c r="A73" s="36" t="s">
        <v>46</v>
      </c>
      <c r="B73" s="37"/>
      <c r="C73" s="38"/>
      <c r="D73" s="74">
        <v>32</v>
      </c>
      <c r="E73" s="74">
        <v>35</v>
      </c>
      <c r="F73" s="67">
        <f>(E73-D73)</f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20.100000000000001" customHeight="1" x14ac:dyDescent="0.3">
      <c r="A74" s="36" t="s">
        <v>47</v>
      </c>
      <c r="B74" s="37"/>
      <c r="C74" s="38"/>
      <c r="D74" s="74">
        <v>65</v>
      </c>
      <c r="E74" s="74">
        <v>95</v>
      </c>
      <c r="F74" s="67">
        <f>(E74-D74)</f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20.100000000000001" customHeight="1" x14ac:dyDescent="0.3">
      <c r="A75" s="36" t="s">
        <v>48</v>
      </c>
      <c r="B75" s="37"/>
      <c r="C75" s="38"/>
      <c r="D75" s="74">
        <v>62</v>
      </c>
      <c r="E75" s="74">
        <v>84</v>
      </c>
      <c r="F75" s="67">
        <f>(E75-D75)</f>
        <v>22</v>
      </c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20.100000000000001" customHeight="1" x14ac:dyDescent="0.3">
      <c r="A76" s="36" t="s">
        <v>49</v>
      </c>
      <c r="B76" s="37"/>
      <c r="C76" s="38"/>
      <c r="D76" s="74">
        <v>58</v>
      </c>
      <c r="E76" s="74">
        <v>21</v>
      </c>
      <c r="F76" s="67">
        <f>(E76-D76)</f>
        <v>-37</v>
      </c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s="28" customFormat="1" ht="33.75" customHeight="1" x14ac:dyDescent="0.3">
      <c r="A77" s="48" t="s">
        <v>50</v>
      </c>
      <c r="B77" s="49"/>
      <c r="C77" s="50"/>
      <c r="D77" s="73">
        <f>SUM(D72:D76)</f>
        <v>269</v>
      </c>
      <c r="E77" s="73">
        <f>SUM(E72:E76)</f>
        <v>299</v>
      </c>
      <c r="F77" s="66">
        <f>SUM(F72:F76)</f>
        <v>30</v>
      </c>
      <c r="G77" s="27"/>
      <c r="H77" s="27"/>
      <c r="I77" s="27"/>
      <c r="J77" s="27"/>
      <c r="K77" s="27"/>
      <c r="L77" s="27"/>
      <c r="M77" s="27"/>
      <c r="N77" s="27"/>
      <c r="O77" s="27"/>
      <c r="P77" s="27"/>
    </row>
    <row r="78" spans="1:16" ht="15.75" customHeight="1" x14ac:dyDescent="0.3">
      <c r="A78" s="12"/>
      <c r="B78" s="47"/>
      <c r="C78" s="47"/>
      <c r="D78" s="47"/>
      <c r="E78" s="47"/>
      <c r="F78" s="69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s="28" customFormat="1" ht="24.9" customHeight="1" x14ac:dyDescent="0.3">
      <c r="A79" s="42" t="s">
        <v>51</v>
      </c>
      <c r="B79" s="43"/>
      <c r="C79" s="44"/>
      <c r="D79" s="73">
        <f>(B67+D77)</f>
        <v>1361</v>
      </c>
      <c r="E79" s="73">
        <f>(D67+E77)</f>
        <v>1465</v>
      </c>
      <c r="F79" s="66">
        <f>(F67+F77)</f>
        <v>104</v>
      </c>
      <c r="G79" s="27"/>
      <c r="H79" s="27"/>
      <c r="I79" s="27"/>
      <c r="J79" s="27"/>
      <c r="K79" s="27"/>
      <c r="L79" s="27"/>
      <c r="M79" s="27"/>
      <c r="N79" s="27"/>
      <c r="O79" s="27"/>
      <c r="P79" s="27"/>
    </row>
    <row r="80" spans="1:16" s="28" customFormat="1" ht="17.25" customHeight="1" x14ac:dyDescent="0.3">
      <c r="A80" s="61"/>
      <c r="B80" s="61"/>
      <c r="C80" s="61"/>
      <c r="D80" s="71"/>
      <c r="E80" s="30"/>
      <c r="F80" s="71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spans="1:16" s="28" customFormat="1" ht="20.100000000000001" customHeight="1" x14ac:dyDescent="0.3">
      <c r="A81" s="62"/>
      <c r="B81" s="63"/>
      <c r="C81" s="64"/>
      <c r="D81" s="73" t="s">
        <v>2</v>
      </c>
      <c r="E81" s="33" t="s">
        <v>4</v>
      </c>
      <c r="F81" s="66" t="s">
        <v>8</v>
      </c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 spans="1:16" s="28" customFormat="1" ht="20.100000000000001" customHeight="1" x14ac:dyDescent="0.3">
      <c r="A82" s="39" t="s">
        <v>52</v>
      </c>
      <c r="B82" s="40"/>
      <c r="C82" s="41"/>
      <c r="D82" s="76">
        <f>(B39-D79)</f>
        <v>1967</v>
      </c>
      <c r="E82" s="76">
        <f>(D39-E79)</f>
        <v>2970</v>
      </c>
      <c r="F82" s="77">
        <f>(E82-D82)</f>
        <v>1003</v>
      </c>
      <c r="G82" s="27"/>
      <c r="H82" s="27"/>
      <c r="I82" s="27"/>
      <c r="J82" s="27"/>
      <c r="K82" s="27"/>
      <c r="L82" s="27"/>
      <c r="M82" s="27"/>
      <c r="N82" s="27"/>
      <c r="O82" s="27"/>
      <c r="P82" s="27"/>
    </row>
    <row r="83" spans="1:16" s="28" customFormat="1" ht="20.100000000000001" customHeight="1" x14ac:dyDescent="0.3">
      <c r="A83" s="39" t="s">
        <v>53</v>
      </c>
      <c r="B83" s="40"/>
      <c r="C83" s="41"/>
      <c r="D83" s="76">
        <v>0</v>
      </c>
      <c r="E83" s="76">
        <v>0</v>
      </c>
      <c r="F83" s="77">
        <f>(E83-D83)</f>
        <v>0</v>
      </c>
      <c r="G83" s="27"/>
      <c r="H83" s="27"/>
      <c r="I83" s="27"/>
      <c r="J83" s="27"/>
      <c r="K83" s="27"/>
      <c r="L83" s="27"/>
      <c r="M83" s="27"/>
      <c r="N83" s="27"/>
      <c r="O83" s="27"/>
      <c r="P83" s="27"/>
    </row>
    <row r="84" spans="1:16" s="28" customFormat="1" ht="18.75" customHeight="1" x14ac:dyDescent="0.3">
      <c r="A84" s="39" t="s">
        <v>54</v>
      </c>
      <c r="B84" s="40"/>
      <c r="C84" s="41"/>
      <c r="D84" s="73">
        <f>(D82-D83)</f>
        <v>1967</v>
      </c>
      <c r="E84" s="73">
        <f>(E82-E83)</f>
        <v>2970</v>
      </c>
      <c r="F84" s="66">
        <f>SUM(F82:F83)</f>
        <v>1003</v>
      </c>
      <c r="G84" s="27"/>
      <c r="H84" s="27"/>
      <c r="I84" s="27"/>
      <c r="J84" s="27"/>
      <c r="K84" s="27"/>
      <c r="L84" s="27"/>
      <c r="M84" s="27"/>
      <c r="N84" s="27"/>
      <c r="O84" s="27"/>
      <c r="P84" s="27"/>
    </row>
    <row r="85" spans="1:16" ht="14.25" customHeight="1" x14ac:dyDescent="0.3"/>
    <row r="86" spans="1:16" ht="15" customHeight="1" x14ac:dyDescent="0.3">
      <c r="A86" s="20"/>
      <c r="B86" s="72"/>
      <c r="C86" s="21"/>
      <c r="D86" s="72"/>
      <c r="E86" s="21"/>
      <c r="F86" s="72"/>
    </row>
    <row r="87" spans="1:16" ht="15" customHeight="1" x14ac:dyDescent="0.3">
      <c r="A87" s="51"/>
      <c r="B87" s="51"/>
    </row>
    <row r="88" spans="1:16" ht="15" customHeight="1" x14ac:dyDescent="0.3">
      <c r="A88" s="59"/>
      <c r="B88" s="59"/>
    </row>
    <row r="89" spans="1:16" ht="15" customHeight="1" x14ac:dyDescent="0.3">
      <c r="A89" s="60"/>
      <c r="B89" s="60"/>
    </row>
    <row r="90" spans="1:16" ht="15.75" customHeight="1" x14ac:dyDescent="0.3"/>
    <row r="91" spans="1:16" ht="15.75" customHeight="1" x14ac:dyDescent="0.3"/>
    <row r="92" spans="1:16" ht="15.75" customHeight="1" x14ac:dyDescent="0.3"/>
    <row r="93" spans="1:16" ht="15.75" customHeight="1" x14ac:dyDescent="0.3"/>
    <row r="94" spans="1:16" ht="15.75" customHeight="1" x14ac:dyDescent="0.3"/>
    <row r="95" spans="1:16" ht="15.75" customHeight="1" x14ac:dyDescent="0.3"/>
    <row r="96" spans="1:1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38">
    <mergeCell ref="A87:B87"/>
    <mergeCell ref="A88:B88"/>
    <mergeCell ref="A89:B89"/>
    <mergeCell ref="A47:F47"/>
    <mergeCell ref="A70:F70"/>
    <mergeCell ref="A84:C84"/>
    <mergeCell ref="A79:C79"/>
    <mergeCell ref="A80:C80"/>
    <mergeCell ref="A81:C81"/>
    <mergeCell ref="A82:C82"/>
    <mergeCell ref="A83:C83"/>
    <mergeCell ref="A4:F4"/>
    <mergeCell ref="A16:F16"/>
    <mergeCell ref="A6:F6"/>
    <mergeCell ref="A29:F29"/>
    <mergeCell ref="A1:F2"/>
    <mergeCell ref="D39:E39"/>
    <mergeCell ref="D78:E78"/>
    <mergeCell ref="A74:C74"/>
    <mergeCell ref="A75:C75"/>
    <mergeCell ref="A76:C76"/>
    <mergeCell ref="A77:C77"/>
    <mergeCell ref="B78:C78"/>
    <mergeCell ref="A42:B42"/>
    <mergeCell ref="A43:B43"/>
    <mergeCell ref="A44:B44"/>
    <mergeCell ref="A45:F45"/>
    <mergeCell ref="A30:C30"/>
    <mergeCell ref="A31:C31"/>
    <mergeCell ref="A32:C32"/>
    <mergeCell ref="A33:C33"/>
    <mergeCell ref="A34:C34"/>
    <mergeCell ref="A35:C35"/>
    <mergeCell ref="A36:C36"/>
    <mergeCell ref="A71:C71"/>
    <mergeCell ref="A72:C72"/>
    <mergeCell ref="A73:C73"/>
    <mergeCell ref="B39:C39"/>
  </mergeCells>
  <pageMargins left="1" right="1" top="1" bottom="1" header="0" footer="1"/>
  <pageSetup paperSize="9" scale="79" fitToHeight="0" orientation="portrait" r:id="rId1"/>
  <colBreaks count="1" manualBreakCount="1">
    <brk id="6" max="8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</dc:creator>
  <cp:lastModifiedBy>Admin</cp:lastModifiedBy>
  <cp:lastPrinted>2018-01-22T06:02:21Z</cp:lastPrinted>
  <dcterms:modified xsi:type="dcterms:W3CDTF">2020-09-09T08:06:42Z</dcterms:modified>
</cp:coreProperties>
</file>