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24" i="1" l="1"/>
  <c r="L24" i="1"/>
  <c r="K24" i="1"/>
  <c r="J24" i="1"/>
  <c r="I24" i="1"/>
  <c r="H24" i="1"/>
  <c r="G24" i="1"/>
  <c r="F24" i="1"/>
  <c r="E24" i="1"/>
  <c r="D24" i="1"/>
  <c r="C24" i="1"/>
  <c r="N34" i="1"/>
  <c r="N31" i="1"/>
  <c r="M35" i="1"/>
  <c r="L35" i="1"/>
  <c r="K35" i="1"/>
  <c r="J35" i="1"/>
  <c r="I35" i="1"/>
  <c r="H35" i="1"/>
  <c r="G35" i="1"/>
  <c r="F35" i="1"/>
  <c r="E35" i="1"/>
  <c r="D35" i="1"/>
  <c r="C35" i="1"/>
  <c r="M36" i="1"/>
  <c r="L36" i="1"/>
  <c r="K36" i="1"/>
  <c r="J36" i="1"/>
  <c r="I36" i="1"/>
  <c r="H36" i="1"/>
  <c r="G36" i="1"/>
  <c r="F36" i="1"/>
  <c r="E36" i="1"/>
  <c r="D36" i="1"/>
  <c r="C36" i="1"/>
  <c r="B36" i="1"/>
  <c r="M33" i="1"/>
  <c r="L33" i="1"/>
  <c r="K33" i="1"/>
  <c r="J33" i="1"/>
  <c r="I33" i="1"/>
  <c r="H33" i="1"/>
  <c r="G33" i="1"/>
  <c r="F33" i="1"/>
  <c r="E33" i="1"/>
  <c r="D33" i="1"/>
  <c r="C33" i="1"/>
  <c r="B33" i="1"/>
  <c r="B35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C20" i="1" s="1"/>
  <c r="B24" i="1"/>
  <c r="N23" i="1"/>
  <c r="N21" i="1"/>
  <c r="N11" i="1"/>
  <c r="N10" i="1"/>
  <c r="N6" i="1"/>
  <c r="M12" i="1"/>
  <c r="M15" i="1" s="1"/>
  <c r="L12" i="1"/>
  <c r="L15" i="1" s="1"/>
  <c r="K12" i="1"/>
  <c r="L22" i="1" s="1"/>
  <c r="J12" i="1"/>
  <c r="J15" i="1" s="1"/>
  <c r="I12" i="1"/>
  <c r="I15" i="1" s="1"/>
  <c r="H12" i="1"/>
  <c r="H15" i="1" s="1"/>
  <c r="G12" i="1"/>
  <c r="G32" i="1" s="1"/>
  <c r="F12" i="1"/>
  <c r="G22" i="1" s="1"/>
  <c r="E12" i="1"/>
  <c r="E15" i="1" s="1"/>
  <c r="D12" i="1"/>
  <c r="D32" i="1" s="1"/>
  <c r="C12" i="1"/>
  <c r="C15" i="1" s="1"/>
  <c r="B12" i="1"/>
  <c r="B37" i="1" s="1"/>
  <c r="M7" i="1"/>
  <c r="L7" i="1"/>
  <c r="K7" i="1"/>
  <c r="J7" i="1"/>
  <c r="I7" i="1"/>
  <c r="H7" i="1"/>
  <c r="G7" i="1"/>
  <c r="F7" i="1"/>
  <c r="E7" i="1"/>
  <c r="D7" i="1"/>
  <c r="C7" i="1"/>
  <c r="J32" i="1" l="1"/>
  <c r="F32" i="1"/>
  <c r="J37" i="1"/>
  <c r="F37" i="1"/>
  <c r="L32" i="1"/>
  <c r="L37" i="1"/>
  <c r="D37" i="1"/>
  <c r="M32" i="1"/>
  <c r="E32" i="1"/>
  <c r="G37" i="1"/>
  <c r="H37" i="1"/>
  <c r="C13" i="1"/>
  <c r="H22" i="1"/>
  <c r="I37" i="1"/>
  <c r="H32" i="1"/>
  <c r="B32" i="1"/>
  <c r="I32" i="1"/>
  <c r="C37" i="1"/>
  <c r="K37" i="1"/>
  <c r="D20" i="1"/>
  <c r="D26" i="1" s="1"/>
  <c r="C32" i="1"/>
  <c r="K32" i="1"/>
  <c r="E37" i="1"/>
  <c r="M37" i="1"/>
  <c r="C26" i="1"/>
  <c r="C27" i="1" s="1"/>
  <c r="J13" i="1"/>
  <c r="K13" i="1"/>
  <c r="F22" i="1"/>
  <c r="I22" i="1"/>
  <c r="E13" i="1"/>
  <c r="J22" i="1"/>
  <c r="C22" i="1"/>
  <c r="K15" i="1"/>
  <c r="D22" i="1"/>
  <c r="K22" i="1"/>
  <c r="E22" i="1"/>
  <c r="M22" i="1"/>
  <c r="E20" i="1"/>
  <c r="F13" i="1"/>
  <c r="D15" i="1"/>
  <c r="N12" i="1"/>
  <c r="L13" i="1"/>
  <c r="M13" i="1"/>
  <c r="D13" i="1"/>
  <c r="G13" i="1"/>
  <c r="F15" i="1"/>
  <c r="H13" i="1"/>
  <c r="G15" i="1"/>
  <c r="I13" i="1"/>
  <c r="B16" i="1"/>
  <c r="C8" i="1" s="1"/>
  <c r="C16" i="1" s="1"/>
  <c r="D8" i="1" s="1"/>
  <c r="D16" i="1" s="1"/>
  <c r="E8" i="1" s="1"/>
  <c r="E16" i="1" s="1"/>
  <c r="F8" i="1" s="1"/>
  <c r="F16" i="1" s="1"/>
  <c r="G8" i="1" s="1"/>
  <c r="G16" i="1" s="1"/>
  <c r="H8" i="1" s="1"/>
  <c r="H16" i="1" s="1"/>
  <c r="I8" i="1" s="1"/>
  <c r="I16" i="1" s="1"/>
  <c r="J8" i="1" s="1"/>
  <c r="J16" i="1" s="1"/>
  <c r="K8" i="1" s="1"/>
  <c r="K16" i="1" s="1"/>
  <c r="L8" i="1" s="1"/>
  <c r="L16" i="1" s="1"/>
  <c r="M8" i="1" s="1"/>
  <c r="M16" i="1" s="1"/>
  <c r="B15" i="1"/>
  <c r="D27" i="1" l="1"/>
  <c r="F20" i="1"/>
  <c r="E26" i="1"/>
  <c r="E27" i="1" s="1"/>
  <c r="G20" i="1" l="1"/>
  <c r="F26" i="1"/>
  <c r="F27" i="1" s="1"/>
  <c r="H20" i="1" l="1"/>
  <c r="G26" i="1"/>
  <c r="G27" i="1" s="1"/>
  <c r="I20" i="1" l="1"/>
  <c r="H26" i="1"/>
  <c r="H27" i="1" s="1"/>
  <c r="J20" i="1" l="1"/>
  <c r="I26" i="1"/>
  <c r="K20" i="1" l="1"/>
  <c r="J26" i="1"/>
  <c r="J27" i="1" s="1"/>
  <c r="I27" i="1"/>
  <c r="L20" i="1" l="1"/>
  <c r="K26" i="1"/>
  <c r="K27" i="1" s="1"/>
  <c r="M20" i="1" l="1"/>
  <c r="M26" i="1" s="1"/>
  <c r="L26" i="1"/>
  <c r="L27" i="1" s="1"/>
  <c r="M27" i="1" l="1"/>
</calcChain>
</file>

<file path=xl/sharedStrings.xml><?xml version="1.0" encoding="utf-8"?>
<sst xmlns="http://schemas.openxmlformats.org/spreadsheetml/2006/main" count="31" uniqueCount="30">
  <si>
    <t>Particulars</t>
  </si>
  <si>
    <t>Totals</t>
  </si>
  <si>
    <t>MARKETING METRICS</t>
  </si>
  <si>
    <t>Reach</t>
  </si>
  <si>
    <t>m/m Growth</t>
  </si>
  <si>
    <t>Leads Recd</t>
  </si>
  <si>
    <t>Op. Leads</t>
  </si>
  <si>
    <t>Organic</t>
  </si>
  <si>
    <t>Paid</t>
  </si>
  <si>
    <t>Total New Leads</t>
  </si>
  <si>
    <t>Reach to Lead Conversion Ratio</t>
  </si>
  <si>
    <t>Cl. Leads</t>
  </si>
  <si>
    <t>REACH &amp; LEADS</t>
  </si>
  <si>
    <t>CUSTOMERS</t>
  </si>
  <si>
    <t>Customers beginning of the month</t>
  </si>
  <si>
    <t>New customers</t>
  </si>
  <si>
    <t>Lost customers</t>
  </si>
  <si>
    <t>Churn rate</t>
  </si>
  <si>
    <t>Net new customers</t>
  </si>
  <si>
    <t>Customers end of month</t>
  </si>
  <si>
    <t>m/m growth customers</t>
  </si>
  <si>
    <t>Conversion rate</t>
  </si>
  <si>
    <t>CAC</t>
  </si>
  <si>
    <t>Marketing spendings</t>
  </si>
  <si>
    <t>Marketing spendings per signup (blended)</t>
  </si>
  <si>
    <t>Sales spendings</t>
  </si>
  <si>
    <t>Total CAC (blended)</t>
  </si>
  <si>
    <t>Marketing spendings per paid signup</t>
  </si>
  <si>
    <t>Sales spendings per new paying customer</t>
  </si>
  <si>
    <t>Total CAC (paid signups)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</si>
</sst>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8" xfId="0" applyBorder="1"/>
    <xf numFmtId="165" fontId="0" fillId="3" borderId="8" xfId="1" applyNumberFormat="1" applyFont="1" applyFill="1" applyBorder="1"/>
    <xf numFmtId="165" fontId="0" fillId="0" borderId="8" xfId="0" applyNumberFormat="1" applyBorder="1"/>
    <xf numFmtId="9" fontId="0" fillId="0" borderId="8" xfId="2" applyFont="1" applyBorder="1"/>
    <xf numFmtId="0" fontId="0" fillId="3" borderId="8" xfId="0" applyFill="1" applyBorder="1"/>
    <xf numFmtId="165" fontId="0" fillId="0" borderId="8" xfId="1" applyNumberFormat="1" applyFont="1" applyBorder="1"/>
    <xf numFmtId="10" fontId="0" fillId="0" borderId="8" xfId="2" applyNumberFormat="1" applyFont="1" applyBorder="1"/>
    <xf numFmtId="165" fontId="0" fillId="3" borderId="9" xfId="1" applyNumberFormat="1" applyFont="1" applyFill="1" applyBorder="1"/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17" fontId="2" fillId="2" borderId="10" xfId="0" applyNumberFormat="1" applyFont="1" applyFill="1" applyBorder="1" applyAlignment="1">
      <alignment horizontal="center"/>
    </xf>
    <xf numFmtId="165" fontId="0" fillId="3" borderId="11" xfId="1" applyNumberFormat="1" applyFont="1" applyFill="1" applyBorder="1"/>
    <xf numFmtId="0" fontId="0" fillId="0" borderId="12" xfId="0" applyBorder="1"/>
    <xf numFmtId="0" fontId="0" fillId="3" borderId="12" xfId="0" applyFill="1" applyBorder="1"/>
    <xf numFmtId="165" fontId="0" fillId="3" borderId="12" xfId="1" applyNumberFormat="1" applyFont="1" applyFill="1" applyBorder="1"/>
    <xf numFmtId="165" fontId="0" fillId="0" borderId="12" xfId="1" applyNumberFormat="1" applyFont="1" applyBorder="1"/>
    <xf numFmtId="10" fontId="0" fillId="0" borderId="12" xfId="2" applyNumberFormat="1" applyFont="1" applyBorder="1"/>
    <xf numFmtId="0" fontId="0" fillId="0" borderId="14" xfId="0" applyBorder="1"/>
    <xf numFmtId="0" fontId="5" fillId="0" borderId="14" xfId="0" applyFont="1" applyBorder="1"/>
    <xf numFmtId="0" fontId="4" fillId="0" borderId="14" xfId="0" applyFont="1" applyBorder="1"/>
    <xf numFmtId="0" fontId="0" fillId="0" borderId="15" xfId="0" applyBorder="1"/>
    <xf numFmtId="0" fontId="0" fillId="0" borderId="16" xfId="0" applyBorder="1"/>
    <xf numFmtId="0" fontId="2" fillId="0" borderId="14" xfId="0" applyFont="1" applyBorder="1"/>
    <xf numFmtId="0" fontId="2" fillId="3" borderId="12" xfId="0" applyFont="1" applyFill="1" applyBorder="1"/>
    <xf numFmtId="17" fontId="2" fillId="0" borderId="17" xfId="0" applyNumberFormat="1" applyFont="1" applyFill="1" applyBorder="1" applyAlignment="1">
      <alignment horizontal="center"/>
    </xf>
    <xf numFmtId="17" fontId="2" fillId="0" borderId="18" xfId="0" applyNumberFormat="1" applyFont="1" applyFill="1" applyBorder="1" applyAlignment="1">
      <alignment horizontal="center"/>
    </xf>
    <xf numFmtId="43" fontId="0" fillId="0" borderId="8" xfId="1" applyFont="1" applyBorder="1"/>
    <xf numFmtId="165" fontId="2" fillId="2" borderId="1" xfId="1" applyNumberFormat="1" applyFont="1" applyFill="1" applyBorder="1" applyAlignment="1">
      <alignment horizontal="center"/>
    </xf>
    <xf numFmtId="43" fontId="0" fillId="0" borderId="12" xfId="1" applyFont="1" applyBorder="1"/>
    <xf numFmtId="9" fontId="0" fillId="0" borderId="12" xfId="2" applyFont="1" applyBorder="1"/>
    <xf numFmtId="165" fontId="2" fillId="0" borderId="12" xfId="1" applyNumberFormat="1" applyFont="1" applyBorder="1"/>
    <xf numFmtId="165" fontId="2" fillId="0" borderId="8" xfId="1" applyNumberFormat="1" applyFont="1" applyBorder="1"/>
    <xf numFmtId="9" fontId="6" fillId="0" borderId="8" xfId="2" applyFont="1" applyBorder="1"/>
    <xf numFmtId="0" fontId="0" fillId="0" borderId="19" xfId="0" applyBorder="1"/>
    <xf numFmtId="165" fontId="2" fillId="0" borderId="0" xfId="1" applyNumberFormat="1" applyFont="1"/>
    <xf numFmtId="165" fontId="0" fillId="0" borderId="12" xfId="0" applyNumberFormat="1" applyBorder="1"/>
    <xf numFmtId="0" fontId="0" fillId="0" borderId="20" xfId="0" applyBorder="1"/>
    <xf numFmtId="0" fontId="0" fillId="0" borderId="21" xfId="0" applyBorder="1"/>
    <xf numFmtId="17" fontId="2" fillId="2" borderId="22" xfId="0" applyNumberFormat="1" applyFont="1" applyFill="1" applyBorder="1" applyAlignment="1">
      <alignment horizontal="center"/>
    </xf>
    <xf numFmtId="17" fontId="2" fillId="0" borderId="23" xfId="0" applyNumberFormat="1" applyFont="1" applyFill="1" applyBorder="1" applyAlignment="1">
      <alignment horizontal="center"/>
    </xf>
    <xf numFmtId="165" fontId="0" fillId="3" borderId="24" xfId="1" applyNumberFormat="1" applyFont="1" applyFill="1" applyBorder="1"/>
    <xf numFmtId="9" fontId="6" fillId="0" borderId="25" xfId="2" applyFont="1" applyBorder="1"/>
    <xf numFmtId="165" fontId="0" fillId="0" borderId="25" xfId="0" applyNumberFormat="1" applyBorder="1"/>
    <xf numFmtId="0" fontId="0" fillId="0" borderId="25" xfId="0" applyBorder="1"/>
    <xf numFmtId="165" fontId="0" fillId="3" borderId="25" xfId="1" applyNumberFormat="1" applyFont="1" applyFill="1" applyBorder="1"/>
    <xf numFmtId="165" fontId="0" fillId="0" borderId="25" xfId="1" applyNumberFormat="1" applyFont="1" applyBorder="1"/>
    <xf numFmtId="10" fontId="0" fillId="0" borderId="25" xfId="2" applyNumberFormat="1" applyFont="1" applyBorder="1"/>
    <xf numFmtId="0" fontId="0" fillId="3" borderId="25" xfId="0" applyFill="1" applyBorder="1"/>
    <xf numFmtId="9" fontId="0" fillId="0" borderId="25" xfId="2" applyFont="1" applyBorder="1"/>
    <xf numFmtId="165" fontId="2" fillId="0" borderId="25" xfId="1" applyNumberFormat="1" applyFont="1" applyBorder="1"/>
    <xf numFmtId="43" fontId="0" fillId="0" borderId="25" xfId="1" applyFont="1" applyBorder="1"/>
    <xf numFmtId="0" fontId="0" fillId="0" borderId="26" xfId="0" applyBorder="1"/>
    <xf numFmtId="165" fontId="2" fillId="4" borderId="13" xfId="1" applyNumberFormat="1" applyFont="1" applyFill="1" applyBorder="1" applyAlignment="1">
      <alignment horizontal="center"/>
    </xf>
    <xf numFmtId="165" fontId="2" fillId="4" borderId="16" xfId="1" applyNumberFormat="1" applyFont="1" applyFill="1" applyBorder="1"/>
    <xf numFmtId="165" fontId="2" fillId="4" borderId="14" xfId="1" applyNumberFormat="1" applyFont="1" applyFill="1" applyBorder="1"/>
    <xf numFmtId="165" fontId="2" fillId="4" borderId="15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workbookViewId="0">
      <selection activeCell="L6" sqref="L6"/>
    </sheetView>
  </sheetViews>
  <sheetFormatPr defaultRowHeight="14.4" x14ac:dyDescent="0.3"/>
  <cols>
    <col min="1" max="1" width="39.6640625" bestFit="1" customWidth="1"/>
    <col min="2" max="2" width="9" bestFit="1" customWidth="1"/>
    <col min="3" max="3" width="9.88671875" bestFit="1" customWidth="1"/>
    <col min="14" max="14" width="8.88671875" style="41"/>
  </cols>
  <sheetData>
    <row r="1" spans="1:14" x14ac:dyDescent="0.3"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4" ht="15" thickBot="1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4" ht="15" thickBot="1" x14ac:dyDescent="0.35"/>
    <row r="4" spans="1:14" ht="15" thickBot="1" x14ac:dyDescent="0.35">
      <c r="A4" s="15" t="s">
        <v>0</v>
      </c>
      <c r="B4" s="17">
        <v>43922</v>
      </c>
      <c r="C4" s="16">
        <v>43952</v>
      </c>
      <c r="D4" s="16">
        <v>43983</v>
      </c>
      <c r="E4" s="16">
        <v>44013</v>
      </c>
      <c r="F4" s="16">
        <v>44044</v>
      </c>
      <c r="G4" s="16">
        <v>44075</v>
      </c>
      <c r="H4" s="16">
        <v>44105</v>
      </c>
      <c r="I4" s="16">
        <v>44136</v>
      </c>
      <c r="J4" s="16">
        <v>44166</v>
      </c>
      <c r="K4" s="16">
        <v>44197</v>
      </c>
      <c r="L4" s="16">
        <v>44228</v>
      </c>
      <c r="M4" s="45">
        <v>44256</v>
      </c>
      <c r="N4" s="34" t="s">
        <v>1</v>
      </c>
    </row>
    <row r="5" spans="1:14" ht="15" thickBot="1" x14ac:dyDescent="0.35">
      <c r="A5" s="15" t="s">
        <v>12</v>
      </c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46"/>
      <c r="N5" s="59"/>
    </row>
    <row r="6" spans="1:14" x14ac:dyDescent="0.3">
      <c r="A6" s="28" t="s">
        <v>3</v>
      </c>
      <c r="B6" s="18">
        <v>2500</v>
      </c>
      <c r="C6" s="14">
        <v>3000</v>
      </c>
      <c r="D6" s="14"/>
      <c r="E6" s="14"/>
      <c r="F6" s="14"/>
      <c r="G6" s="14"/>
      <c r="H6" s="14"/>
      <c r="I6" s="14"/>
      <c r="J6" s="14"/>
      <c r="K6" s="14"/>
      <c r="L6" s="14"/>
      <c r="M6" s="47"/>
      <c r="N6" s="60">
        <f>SUM(B6:M6)</f>
        <v>5500</v>
      </c>
    </row>
    <row r="7" spans="1:14" x14ac:dyDescent="0.3">
      <c r="A7" s="25" t="s">
        <v>4</v>
      </c>
      <c r="B7" s="19"/>
      <c r="C7" s="39">
        <f>C6/B6-1</f>
        <v>0.19999999999999996</v>
      </c>
      <c r="D7" s="39">
        <f t="shared" ref="D7:M7" si="0">D6/C6-1</f>
        <v>-1</v>
      </c>
      <c r="E7" s="39" t="e">
        <f t="shared" si="0"/>
        <v>#DIV/0!</v>
      </c>
      <c r="F7" s="39" t="e">
        <f t="shared" si="0"/>
        <v>#DIV/0!</v>
      </c>
      <c r="G7" s="39" t="e">
        <f t="shared" si="0"/>
        <v>#DIV/0!</v>
      </c>
      <c r="H7" s="39" t="e">
        <f t="shared" si="0"/>
        <v>#DIV/0!</v>
      </c>
      <c r="I7" s="39" t="e">
        <f t="shared" si="0"/>
        <v>#DIV/0!</v>
      </c>
      <c r="J7" s="39" t="e">
        <f t="shared" si="0"/>
        <v>#DIV/0!</v>
      </c>
      <c r="K7" s="39" t="e">
        <f t="shared" si="0"/>
        <v>#DIV/0!</v>
      </c>
      <c r="L7" s="39" t="e">
        <f t="shared" si="0"/>
        <v>#DIV/0!</v>
      </c>
      <c r="M7" s="48" t="e">
        <f t="shared" si="0"/>
        <v>#DIV/0!</v>
      </c>
      <c r="N7" s="61"/>
    </row>
    <row r="8" spans="1:14" x14ac:dyDescent="0.3">
      <c r="A8" s="29" t="s">
        <v>6</v>
      </c>
      <c r="B8" s="30">
        <v>50</v>
      </c>
      <c r="C8" s="9">
        <f>B16</f>
        <v>75</v>
      </c>
      <c r="D8" s="9">
        <f t="shared" ref="D8:M8" si="1">C16</f>
        <v>107</v>
      </c>
      <c r="E8" s="9">
        <f t="shared" si="1"/>
        <v>107</v>
      </c>
      <c r="F8" s="9">
        <f t="shared" si="1"/>
        <v>107</v>
      </c>
      <c r="G8" s="9">
        <f t="shared" si="1"/>
        <v>107</v>
      </c>
      <c r="H8" s="9">
        <f t="shared" si="1"/>
        <v>107</v>
      </c>
      <c r="I8" s="9">
        <f t="shared" si="1"/>
        <v>107</v>
      </c>
      <c r="J8" s="9">
        <f t="shared" si="1"/>
        <v>107</v>
      </c>
      <c r="K8" s="9">
        <f t="shared" si="1"/>
        <v>107</v>
      </c>
      <c r="L8" s="9">
        <f t="shared" si="1"/>
        <v>107</v>
      </c>
      <c r="M8" s="49">
        <f t="shared" si="1"/>
        <v>107</v>
      </c>
      <c r="N8" s="61"/>
    </row>
    <row r="9" spans="1:14" x14ac:dyDescent="0.3">
      <c r="A9" s="26" t="s">
        <v>5</v>
      </c>
      <c r="B9" s="19"/>
      <c r="C9" s="7"/>
      <c r="D9" s="7"/>
      <c r="E9" s="7"/>
      <c r="F9" s="7"/>
      <c r="G9" s="7"/>
      <c r="H9" s="7"/>
      <c r="I9" s="7"/>
      <c r="J9" s="7"/>
      <c r="K9" s="7"/>
      <c r="L9" s="7"/>
      <c r="M9" s="50"/>
      <c r="N9" s="61"/>
    </row>
    <row r="10" spans="1:14" x14ac:dyDescent="0.3">
      <c r="A10" s="24" t="s">
        <v>7</v>
      </c>
      <c r="B10" s="21">
        <v>10</v>
      </c>
      <c r="C10" s="8">
        <v>12</v>
      </c>
      <c r="D10" s="8"/>
      <c r="E10" s="8"/>
      <c r="F10" s="8"/>
      <c r="G10" s="8"/>
      <c r="H10" s="8"/>
      <c r="I10" s="8"/>
      <c r="J10" s="8"/>
      <c r="K10" s="8"/>
      <c r="L10" s="8"/>
      <c r="M10" s="51"/>
      <c r="N10" s="61">
        <f>SUM(B10:M10)</f>
        <v>22</v>
      </c>
    </row>
    <row r="11" spans="1:14" x14ac:dyDescent="0.3">
      <c r="A11" s="24" t="s">
        <v>8</v>
      </c>
      <c r="B11" s="21">
        <v>15</v>
      </c>
      <c r="C11" s="8">
        <v>20</v>
      </c>
      <c r="D11" s="8"/>
      <c r="E11" s="8"/>
      <c r="F11" s="8"/>
      <c r="G11" s="8"/>
      <c r="H11" s="8"/>
      <c r="I11" s="8"/>
      <c r="J11" s="8"/>
      <c r="K11" s="8"/>
      <c r="L11" s="8"/>
      <c r="M11" s="51"/>
      <c r="N11" s="61">
        <f>SUM(B11:M11)</f>
        <v>35</v>
      </c>
    </row>
    <row r="12" spans="1:14" x14ac:dyDescent="0.3">
      <c r="A12" s="29" t="s">
        <v>9</v>
      </c>
      <c r="B12" s="22">
        <f>SUM(B10:B11)</f>
        <v>25</v>
      </c>
      <c r="C12" s="12">
        <f t="shared" ref="C12:M12" si="2">SUM(C10:C11)</f>
        <v>32</v>
      </c>
      <c r="D12" s="12">
        <f t="shared" si="2"/>
        <v>0</v>
      </c>
      <c r="E12" s="12">
        <f t="shared" si="2"/>
        <v>0</v>
      </c>
      <c r="F12" s="12">
        <f t="shared" si="2"/>
        <v>0</v>
      </c>
      <c r="G12" s="12">
        <f t="shared" si="2"/>
        <v>0</v>
      </c>
      <c r="H12" s="12">
        <f t="shared" si="2"/>
        <v>0</v>
      </c>
      <c r="I12" s="12">
        <f t="shared" si="2"/>
        <v>0</v>
      </c>
      <c r="J12" s="12">
        <f t="shared" si="2"/>
        <v>0</v>
      </c>
      <c r="K12" s="12">
        <f t="shared" si="2"/>
        <v>0</v>
      </c>
      <c r="L12" s="12">
        <f t="shared" si="2"/>
        <v>0</v>
      </c>
      <c r="M12" s="52">
        <f t="shared" si="2"/>
        <v>0</v>
      </c>
      <c r="N12" s="61">
        <f>SUM(B12:M12)</f>
        <v>57</v>
      </c>
    </row>
    <row r="13" spans="1:14" x14ac:dyDescent="0.3">
      <c r="A13" s="25" t="s">
        <v>4</v>
      </c>
      <c r="B13" s="19"/>
      <c r="C13" s="39">
        <f>C12/B12-1</f>
        <v>0.28000000000000003</v>
      </c>
      <c r="D13" s="39">
        <f t="shared" ref="D13" si="3">D12/C12-1</f>
        <v>-1</v>
      </c>
      <c r="E13" s="39" t="e">
        <f t="shared" ref="E13" si="4">E12/D12-1</f>
        <v>#DIV/0!</v>
      </c>
      <c r="F13" s="39" t="e">
        <f t="shared" ref="F13" si="5">F12/E12-1</f>
        <v>#DIV/0!</v>
      </c>
      <c r="G13" s="39" t="e">
        <f t="shared" ref="G13" si="6">G12/F12-1</f>
        <v>#DIV/0!</v>
      </c>
      <c r="H13" s="39" t="e">
        <f t="shared" ref="H13" si="7">H12/G12-1</f>
        <v>#DIV/0!</v>
      </c>
      <c r="I13" s="39" t="e">
        <f t="shared" ref="I13" si="8">I12/H12-1</f>
        <v>#DIV/0!</v>
      </c>
      <c r="J13" s="39" t="e">
        <f t="shared" ref="J13" si="9">J12/I12-1</f>
        <v>#DIV/0!</v>
      </c>
      <c r="K13" s="39" t="e">
        <f t="shared" ref="K13" si="10">K12/J12-1</f>
        <v>#DIV/0!</v>
      </c>
      <c r="L13" s="39" t="e">
        <f t="shared" ref="L13" si="11">L12/K12-1</f>
        <v>#DIV/0!</v>
      </c>
      <c r="M13" s="48" t="e">
        <f t="shared" ref="M13" si="12">M12/L12-1</f>
        <v>#DIV/0!</v>
      </c>
      <c r="N13" s="61"/>
    </row>
    <row r="14" spans="1:14" x14ac:dyDescent="0.3">
      <c r="A14" s="24"/>
      <c r="B14" s="19"/>
      <c r="C14" s="7"/>
      <c r="D14" s="7"/>
      <c r="E14" s="7"/>
      <c r="F14" s="7"/>
      <c r="G14" s="7"/>
      <c r="H14" s="7"/>
      <c r="I14" s="7"/>
      <c r="J14" s="7"/>
      <c r="K14" s="7"/>
      <c r="L14" s="7"/>
      <c r="M14" s="50"/>
      <c r="N14" s="61"/>
    </row>
    <row r="15" spans="1:14" x14ac:dyDescent="0.3">
      <c r="A15" s="24" t="s">
        <v>10</v>
      </c>
      <c r="B15" s="23">
        <f>B12/B6</f>
        <v>0.01</v>
      </c>
      <c r="C15" s="13">
        <f t="shared" ref="C15:M15" si="13">C12/C6</f>
        <v>1.0666666666666666E-2</v>
      </c>
      <c r="D15" s="13" t="e">
        <f t="shared" si="13"/>
        <v>#DIV/0!</v>
      </c>
      <c r="E15" s="13" t="e">
        <f t="shared" si="13"/>
        <v>#DIV/0!</v>
      </c>
      <c r="F15" s="13" t="e">
        <f t="shared" si="13"/>
        <v>#DIV/0!</v>
      </c>
      <c r="G15" s="13" t="e">
        <f t="shared" si="13"/>
        <v>#DIV/0!</v>
      </c>
      <c r="H15" s="13" t="e">
        <f t="shared" si="13"/>
        <v>#DIV/0!</v>
      </c>
      <c r="I15" s="13" t="e">
        <f t="shared" si="13"/>
        <v>#DIV/0!</v>
      </c>
      <c r="J15" s="13" t="e">
        <f t="shared" si="13"/>
        <v>#DIV/0!</v>
      </c>
      <c r="K15" s="13" t="e">
        <f t="shared" si="13"/>
        <v>#DIV/0!</v>
      </c>
      <c r="L15" s="13" t="e">
        <f t="shared" si="13"/>
        <v>#DIV/0!</v>
      </c>
      <c r="M15" s="53" t="e">
        <f t="shared" si="13"/>
        <v>#DIV/0!</v>
      </c>
      <c r="N15" s="61"/>
    </row>
    <row r="16" spans="1:14" x14ac:dyDescent="0.3">
      <c r="A16" s="29" t="s">
        <v>11</v>
      </c>
      <c r="B16" s="22">
        <f>B8+B12</f>
        <v>75</v>
      </c>
      <c r="C16" s="12">
        <f t="shared" ref="C16:M16" si="14">C8+C12</f>
        <v>107</v>
      </c>
      <c r="D16" s="12">
        <f t="shared" si="14"/>
        <v>107</v>
      </c>
      <c r="E16" s="12">
        <f t="shared" si="14"/>
        <v>107</v>
      </c>
      <c r="F16" s="12">
        <f t="shared" si="14"/>
        <v>107</v>
      </c>
      <c r="G16" s="12">
        <f t="shared" si="14"/>
        <v>107</v>
      </c>
      <c r="H16" s="12">
        <f t="shared" si="14"/>
        <v>107</v>
      </c>
      <c r="I16" s="12">
        <f t="shared" si="14"/>
        <v>107</v>
      </c>
      <c r="J16" s="12">
        <f t="shared" si="14"/>
        <v>107</v>
      </c>
      <c r="K16" s="12">
        <f t="shared" si="14"/>
        <v>107</v>
      </c>
      <c r="L16" s="12">
        <f t="shared" si="14"/>
        <v>107</v>
      </c>
      <c r="M16" s="52">
        <f t="shared" si="14"/>
        <v>107</v>
      </c>
      <c r="N16" s="61"/>
    </row>
    <row r="17" spans="1:14" ht="15" thickBot="1" x14ac:dyDescent="0.35">
      <c r="A17" s="24"/>
      <c r="B17" s="19"/>
      <c r="C17" s="7"/>
      <c r="D17" s="7"/>
      <c r="E17" s="7"/>
      <c r="F17" s="7"/>
      <c r="G17" s="7"/>
      <c r="H17" s="7"/>
      <c r="I17" s="7"/>
      <c r="J17" s="7"/>
      <c r="K17" s="7"/>
      <c r="L17" s="7"/>
      <c r="M17" s="50"/>
      <c r="N17" s="61"/>
    </row>
    <row r="18" spans="1:14" ht="15" thickBot="1" x14ac:dyDescent="0.35">
      <c r="A18" s="15" t="s">
        <v>13</v>
      </c>
      <c r="B18" s="19"/>
      <c r="C18" s="7"/>
      <c r="D18" s="7"/>
      <c r="E18" s="7"/>
      <c r="F18" s="7"/>
      <c r="G18" s="7"/>
      <c r="H18" s="7"/>
      <c r="I18" s="7"/>
      <c r="J18" s="7"/>
      <c r="K18" s="7"/>
      <c r="L18" s="7"/>
      <c r="M18" s="50"/>
      <c r="N18" s="61"/>
    </row>
    <row r="19" spans="1:14" x14ac:dyDescent="0.3">
      <c r="A19" s="24"/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50"/>
      <c r="N19" s="61"/>
    </row>
    <row r="20" spans="1:14" x14ac:dyDescent="0.3">
      <c r="A20" s="24" t="s">
        <v>14</v>
      </c>
      <c r="B20" s="20">
        <v>10</v>
      </c>
      <c r="C20" s="9">
        <f>B25</f>
        <v>10</v>
      </c>
      <c r="D20" s="9">
        <f t="shared" ref="D20:M20" si="15">C25</f>
        <v>16</v>
      </c>
      <c r="E20" s="9">
        <f t="shared" si="15"/>
        <v>0</v>
      </c>
      <c r="F20" s="9">
        <f t="shared" si="15"/>
        <v>0</v>
      </c>
      <c r="G20" s="9">
        <f t="shared" si="15"/>
        <v>0</v>
      </c>
      <c r="H20" s="9">
        <f t="shared" si="15"/>
        <v>0</v>
      </c>
      <c r="I20" s="9">
        <f t="shared" si="15"/>
        <v>0</v>
      </c>
      <c r="J20" s="9">
        <f t="shared" si="15"/>
        <v>0</v>
      </c>
      <c r="K20" s="9">
        <f t="shared" si="15"/>
        <v>0</v>
      </c>
      <c r="L20" s="9">
        <f t="shared" si="15"/>
        <v>0</v>
      </c>
      <c r="M20" s="49">
        <f t="shared" si="15"/>
        <v>0</v>
      </c>
      <c r="N20" s="61"/>
    </row>
    <row r="21" spans="1:14" x14ac:dyDescent="0.3">
      <c r="A21" s="24" t="s">
        <v>15</v>
      </c>
      <c r="B21" s="20">
        <v>12</v>
      </c>
      <c r="C21" s="11">
        <v>17</v>
      </c>
      <c r="D21" s="11"/>
      <c r="E21" s="11"/>
      <c r="F21" s="11"/>
      <c r="G21" s="11"/>
      <c r="H21" s="11"/>
      <c r="I21" s="11"/>
      <c r="J21" s="11"/>
      <c r="K21" s="11"/>
      <c r="L21" s="11"/>
      <c r="M21" s="54"/>
      <c r="N21" s="61">
        <f>SUM(B21:M21)</f>
        <v>29</v>
      </c>
    </row>
    <row r="22" spans="1:14" x14ac:dyDescent="0.3">
      <c r="A22" s="24" t="s">
        <v>21</v>
      </c>
      <c r="B22" s="19"/>
      <c r="C22" s="10">
        <f>C21/B12</f>
        <v>0.68</v>
      </c>
      <c r="D22" s="10">
        <f t="shared" ref="D22:M22" si="16">D21/C12</f>
        <v>0</v>
      </c>
      <c r="E22" s="10" t="e">
        <f t="shared" si="16"/>
        <v>#DIV/0!</v>
      </c>
      <c r="F22" s="10" t="e">
        <f t="shared" si="16"/>
        <v>#DIV/0!</v>
      </c>
      <c r="G22" s="10" t="e">
        <f t="shared" si="16"/>
        <v>#DIV/0!</v>
      </c>
      <c r="H22" s="10" t="e">
        <f t="shared" si="16"/>
        <v>#DIV/0!</v>
      </c>
      <c r="I22" s="10" t="e">
        <f t="shared" si="16"/>
        <v>#DIV/0!</v>
      </c>
      <c r="J22" s="10" t="e">
        <f t="shared" si="16"/>
        <v>#DIV/0!</v>
      </c>
      <c r="K22" s="10" t="e">
        <f t="shared" si="16"/>
        <v>#DIV/0!</v>
      </c>
      <c r="L22" s="10" t="e">
        <f t="shared" si="16"/>
        <v>#DIV/0!</v>
      </c>
      <c r="M22" s="55" t="e">
        <f t="shared" si="16"/>
        <v>#DIV/0!</v>
      </c>
      <c r="N22" s="61"/>
    </row>
    <row r="23" spans="1:14" x14ac:dyDescent="0.3">
      <c r="A23" s="24" t="s">
        <v>16</v>
      </c>
      <c r="B23" s="20">
        <v>2</v>
      </c>
      <c r="C23" s="11">
        <v>1</v>
      </c>
      <c r="D23" s="11"/>
      <c r="E23" s="11"/>
      <c r="F23" s="11"/>
      <c r="G23" s="11"/>
      <c r="H23" s="11"/>
      <c r="I23" s="11"/>
      <c r="J23" s="11"/>
      <c r="K23" s="11"/>
      <c r="L23" s="11"/>
      <c r="M23" s="54"/>
      <c r="N23" s="61">
        <f>SUM(B23:M23)</f>
        <v>3</v>
      </c>
    </row>
    <row r="24" spans="1:14" x14ac:dyDescent="0.3">
      <c r="A24" s="24" t="s">
        <v>17</v>
      </c>
      <c r="B24" s="36">
        <f>-B23/B20</f>
        <v>-0.2</v>
      </c>
      <c r="C24" s="10">
        <f t="shared" ref="C24:M24" si="17">-C23/C20</f>
        <v>-0.1</v>
      </c>
      <c r="D24" s="10">
        <f t="shared" si="17"/>
        <v>0</v>
      </c>
      <c r="E24" s="10" t="e">
        <f t="shared" si="17"/>
        <v>#DIV/0!</v>
      </c>
      <c r="F24" s="10" t="e">
        <f t="shared" si="17"/>
        <v>#DIV/0!</v>
      </c>
      <c r="G24" s="10" t="e">
        <f t="shared" si="17"/>
        <v>#DIV/0!</v>
      </c>
      <c r="H24" s="10" t="e">
        <f t="shared" si="17"/>
        <v>#DIV/0!</v>
      </c>
      <c r="I24" s="10" t="e">
        <f t="shared" si="17"/>
        <v>#DIV/0!</v>
      </c>
      <c r="J24" s="10" t="e">
        <f t="shared" si="17"/>
        <v>#DIV/0!</v>
      </c>
      <c r="K24" s="10" t="e">
        <f t="shared" si="17"/>
        <v>#DIV/0!</v>
      </c>
      <c r="L24" s="10" t="e">
        <f t="shared" si="17"/>
        <v>#DIV/0!</v>
      </c>
      <c r="M24" s="55" t="e">
        <f t="shared" si="17"/>
        <v>#DIV/0!</v>
      </c>
      <c r="N24" s="61"/>
    </row>
    <row r="25" spans="1:14" x14ac:dyDescent="0.3">
      <c r="A25" s="24" t="s">
        <v>18</v>
      </c>
      <c r="B25" s="37">
        <f>B21-B23</f>
        <v>10</v>
      </c>
      <c r="C25" s="38">
        <f t="shared" ref="C25:M25" si="18">C21-C23</f>
        <v>16</v>
      </c>
      <c r="D25" s="38">
        <f t="shared" si="18"/>
        <v>0</v>
      </c>
      <c r="E25" s="38">
        <f t="shared" si="18"/>
        <v>0</v>
      </c>
      <c r="F25" s="38">
        <f t="shared" si="18"/>
        <v>0</v>
      </c>
      <c r="G25" s="38">
        <f t="shared" si="18"/>
        <v>0</v>
      </c>
      <c r="H25" s="38">
        <f t="shared" si="18"/>
        <v>0</v>
      </c>
      <c r="I25" s="38">
        <f t="shared" si="18"/>
        <v>0</v>
      </c>
      <c r="J25" s="38">
        <f t="shared" si="18"/>
        <v>0</v>
      </c>
      <c r="K25" s="38">
        <f t="shared" si="18"/>
        <v>0</v>
      </c>
      <c r="L25" s="38">
        <f t="shared" si="18"/>
        <v>0</v>
      </c>
      <c r="M25" s="56">
        <f t="shared" si="18"/>
        <v>0</v>
      </c>
      <c r="N25" s="61"/>
    </row>
    <row r="26" spans="1:14" x14ac:dyDescent="0.3">
      <c r="A26" s="24" t="s">
        <v>19</v>
      </c>
      <c r="B26" s="19">
        <f>B20+B21-B23</f>
        <v>20</v>
      </c>
      <c r="C26" s="7">
        <f t="shared" ref="C26:M26" si="19">C20+C21-C23</f>
        <v>26</v>
      </c>
      <c r="D26" s="7">
        <f t="shared" si="19"/>
        <v>16</v>
      </c>
      <c r="E26" s="7">
        <f t="shared" si="19"/>
        <v>0</v>
      </c>
      <c r="F26" s="7">
        <f t="shared" si="19"/>
        <v>0</v>
      </c>
      <c r="G26" s="7">
        <f t="shared" si="19"/>
        <v>0</v>
      </c>
      <c r="H26" s="7">
        <f t="shared" si="19"/>
        <v>0</v>
      </c>
      <c r="I26" s="7">
        <f t="shared" si="19"/>
        <v>0</v>
      </c>
      <c r="J26" s="7">
        <f t="shared" si="19"/>
        <v>0</v>
      </c>
      <c r="K26" s="7">
        <f t="shared" si="19"/>
        <v>0</v>
      </c>
      <c r="L26" s="7">
        <f t="shared" si="19"/>
        <v>0</v>
      </c>
      <c r="M26" s="50">
        <f t="shared" si="19"/>
        <v>0</v>
      </c>
      <c r="N26" s="61"/>
    </row>
    <row r="27" spans="1:14" x14ac:dyDescent="0.3">
      <c r="A27" s="24" t="s">
        <v>20</v>
      </c>
      <c r="B27" s="19"/>
      <c r="C27" s="39">
        <f>C26/B26-1</f>
        <v>0.30000000000000004</v>
      </c>
      <c r="D27" s="39">
        <f t="shared" ref="D27" si="20">D26/C26-1</f>
        <v>-0.38461538461538458</v>
      </c>
      <c r="E27" s="39">
        <f t="shared" ref="E27" si="21">E26/D26-1</f>
        <v>-1</v>
      </c>
      <c r="F27" s="39" t="e">
        <f t="shared" ref="F27" si="22">F26/E26-1</f>
        <v>#DIV/0!</v>
      </c>
      <c r="G27" s="39" t="e">
        <f t="shared" ref="G27" si="23">G26/F26-1</f>
        <v>#DIV/0!</v>
      </c>
      <c r="H27" s="39" t="e">
        <f t="shared" ref="H27" si="24">H26/G26-1</f>
        <v>#DIV/0!</v>
      </c>
      <c r="I27" s="39" t="e">
        <f t="shared" ref="I27" si="25">I26/H26-1</f>
        <v>#DIV/0!</v>
      </c>
      <c r="J27" s="39" t="e">
        <f t="shared" ref="J27" si="26">J26/I26-1</f>
        <v>#DIV/0!</v>
      </c>
      <c r="K27" s="39" t="e">
        <f t="shared" ref="K27" si="27">K26/J26-1</f>
        <v>#DIV/0!</v>
      </c>
      <c r="L27" s="39" t="e">
        <f t="shared" ref="L27" si="28">L26/K26-1</f>
        <v>#DIV/0!</v>
      </c>
      <c r="M27" s="48" t="e">
        <f t="shared" ref="M27" si="29">M26/L26-1</f>
        <v>#DIV/0!</v>
      </c>
      <c r="N27" s="61"/>
    </row>
    <row r="28" spans="1:14" ht="15" thickBot="1" x14ac:dyDescent="0.35">
      <c r="A28" s="24"/>
      <c r="B28" s="19"/>
      <c r="C28" s="7"/>
      <c r="D28" s="7"/>
      <c r="E28" s="7"/>
      <c r="F28" s="7"/>
      <c r="G28" s="7"/>
      <c r="H28" s="7"/>
      <c r="I28" s="7"/>
      <c r="J28" s="7"/>
      <c r="K28" s="7"/>
      <c r="L28" s="7"/>
      <c r="M28" s="50"/>
      <c r="N28" s="61"/>
    </row>
    <row r="29" spans="1:14" ht="15" thickBot="1" x14ac:dyDescent="0.35">
      <c r="A29" s="15" t="s">
        <v>22</v>
      </c>
      <c r="B29" s="19"/>
      <c r="C29" s="7"/>
      <c r="D29" s="7"/>
      <c r="E29" s="7"/>
      <c r="F29" s="7"/>
      <c r="G29" s="7"/>
      <c r="H29" s="7"/>
      <c r="I29" s="7"/>
      <c r="J29" s="7"/>
      <c r="K29" s="7"/>
      <c r="L29" s="7"/>
      <c r="M29" s="50"/>
      <c r="N29" s="61"/>
    </row>
    <row r="30" spans="1:14" x14ac:dyDescent="0.3">
      <c r="A30" s="24"/>
      <c r="B30" s="19"/>
      <c r="C30" s="7"/>
      <c r="D30" s="7"/>
      <c r="E30" s="7"/>
      <c r="F30" s="7"/>
      <c r="G30" s="7"/>
      <c r="H30" s="7"/>
      <c r="I30" s="7"/>
      <c r="J30" s="7"/>
      <c r="K30" s="7"/>
      <c r="L30" s="7"/>
      <c r="M30" s="50"/>
      <c r="N30" s="61"/>
    </row>
    <row r="31" spans="1:14" x14ac:dyDescent="0.3">
      <c r="A31" s="40" t="s">
        <v>23</v>
      </c>
      <c r="B31" s="20">
        <v>3000</v>
      </c>
      <c r="C31" s="11">
        <v>5000</v>
      </c>
      <c r="D31" s="11"/>
      <c r="E31" s="11"/>
      <c r="F31" s="11"/>
      <c r="G31" s="11"/>
      <c r="H31" s="11"/>
      <c r="I31" s="11"/>
      <c r="J31" s="11"/>
      <c r="K31" s="11"/>
      <c r="L31" s="11"/>
      <c r="M31" s="54"/>
      <c r="N31" s="61">
        <f>SUM(B31:M31)</f>
        <v>8000</v>
      </c>
    </row>
    <row r="32" spans="1:14" x14ac:dyDescent="0.3">
      <c r="A32" s="40" t="s">
        <v>24</v>
      </c>
      <c r="B32" s="42">
        <f>B31/B12</f>
        <v>120</v>
      </c>
      <c r="C32" s="7">
        <f t="shared" ref="C32:M32" si="30">C31/C12</f>
        <v>156.25</v>
      </c>
      <c r="D32" s="7" t="e">
        <f t="shared" si="30"/>
        <v>#DIV/0!</v>
      </c>
      <c r="E32" s="7" t="e">
        <f t="shared" si="30"/>
        <v>#DIV/0!</v>
      </c>
      <c r="F32" s="7" t="e">
        <f t="shared" si="30"/>
        <v>#DIV/0!</v>
      </c>
      <c r="G32" s="7" t="e">
        <f t="shared" si="30"/>
        <v>#DIV/0!</v>
      </c>
      <c r="H32" s="7" t="e">
        <f t="shared" si="30"/>
        <v>#DIV/0!</v>
      </c>
      <c r="I32" s="7" t="e">
        <f t="shared" si="30"/>
        <v>#DIV/0!</v>
      </c>
      <c r="J32" s="7" t="e">
        <f t="shared" si="30"/>
        <v>#DIV/0!</v>
      </c>
      <c r="K32" s="7" t="e">
        <f t="shared" si="30"/>
        <v>#DIV/0!</v>
      </c>
      <c r="L32" s="7" t="e">
        <f t="shared" si="30"/>
        <v>#DIV/0!</v>
      </c>
      <c r="M32" s="50" t="e">
        <f t="shared" si="30"/>
        <v>#DIV/0!</v>
      </c>
      <c r="N32" s="61"/>
    </row>
    <row r="33" spans="1:14" x14ac:dyDescent="0.3">
      <c r="A33" s="40" t="s">
        <v>27</v>
      </c>
      <c r="B33" s="42">
        <f>B31/B11</f>
        <v>200</v>
      </c>
      <c r="C33" s="7">
        <f t="shared" ref="C33:M33" si="31">C31/C11</f>
        <v>250</v>
      </c>
      <c r="D33" s="7" t="e">
        <f t="shared" si="31"/>
        <v>#DIV/0!</v>
      </c>
      <c r="E33" s="7" t="e">
        <f t="shared" si="31"/>
        <v>#DIV/0!</v>
      </c>
      <c r="F33" s="7" t="e">
        <f t="shared" si="31"/>
        <v>#DIV/0!</v>
      </c>
      <c r="G33" s="7" t="e">
        <f t="shared" si="31"/>
        <v>#DIV/0!</v>
      </c>
      <c r="H33" s="7" t="e">
        <f t="shared" si="31"/>
        <v>#DIV/0!</v>
      </c>
      <c r="I33" s="7" t="e">
        <f t="shared" si="31"/>
        <v>#DIV/0!</v>
      </c>
      <c r="J33" s="7" t="e">
        <f t="shared" si="31"/>
        <v>#DIV/0!</v>
      </c>
      <c r="K33" s="7" t="e">
        <f t="shared" si="31"/>
        <v>#DIV/0!</v>
      </c>
      <c r="L33" s="7" t="e">
        <f t="shared" si="31"/>
        <v>#DIV/0!</v>
      </c>
      <c r="M33" s="50" t="e">
        <f t="shared" si="31"/>
        <v>#DIV/0!</v>
      </c>
      <c r="N33" s="61"/>
    </row>
    <row r="34" spans="1:14" x14ac:dyDescent="0.3">
      <c r="A34" s="40" t="s">
        <v>25</v>
      </c>
      <c r="B34" s="20">
        <v>2000</v>
      </c>
      <c r="C34" s="11">
        <v>2500</v>
      </c>
      <c r="D34" s="11"/>
      <c r="E34" s="11"/>
      <c r="F34" s="11"/>
      <c r="G34" s="11"/>
      <c r="H34" s="11"/>
      <c r="I34" s="11"/>
      <c r="J34" s="11"/>
      <c r="K34" s="11"/>
      <c r="L34" s="11"/>
      <c r="M34" s="54"/>
      <c r="N34" s="61">
        <f>SUM(B34:M34)</f>
        <v>4500</v>
      </c>
    </row>
    <row r="35" spans="1:14" x14ac:dyDescent="0.3">
      <c r="A35" s="40" t="s">
        <v>28</v>
      </c>
      <c r="B35" s="35">
        <f>B34/B21</f>
        <v>166.66666666666666</v>
      </c>
      <c r="C35" s="33">
        <f t="shared" ref="C35:M35" si="32">C34/C21</f>
        <v>147.05882352941177</v>
      </c>
      <c r="D35" s="33" t="e">
        <f t="shared" si="32"/>
        <v>#DIV/0!</v>
      </c>
      <c r="E35" s="33" t="e">
        <f t="shared" si="32"/>
        <v>#DIV/0!</v>
      </c>
      <c r="F35" s="33" t="e">
        <f t="shared" si="32"/>
        <v>#DIV/0!</v>
      </c>
      <c r="G35" s="33" t="e">
        <f t="shared" si="32"/>
        <v>#DIV/0!</v>
      </c>
      <c r="H35" s="33" t="e">
        <f t="shared" si="32"/>
        <v>#DIV/0!</v>
      </c>
      <c r="I35" s="33" t="e">
        <f t="shared" si="32"/>
        <v>#DIV/0!</v>
      </c>
      <c r="J35" s="33" t="e">
        <f t="shared" si="32"/>
        <v>#DIV/0!</v>
      </c>
      <c r="K35" s="33" t="e">
        <f t="shared" si="32"/>
        <v>#DIV/0!</v>
      </c>
      <c r="L35" s="33" t="e">
        <f t="shared" si="32"/>
        <v>#DIV/0!</v>
      </c>
      <c r="M35" s="57" t="e">
        <f t="shared" si="32"/>
        <v>#DIV/0!</v>
      </c>
      <c r="N35" s="61"/>
    </row>
    <row r="36" spans="1:14" x14ac:dyDescent="0.3">
      <c r="A36" s="40" t="s">
        <v>26</v>
      </c>
      <c r="B36" s="35">
        <f>(B31+B34)/B21</f>
        <v>416.66666666666669</v>
      </c>
      <c r="C36" s="33">
        <f t="shared" ref="C36:M36" si="33">(C31+C34)/C21</f>
        <v>441.1764705882353</v>
      </c>
      <c r="D36" s="33" t="e">
        <f t="shared" si="33"/>
        <v>#DIV/0!</v>
      </c>
      <c r="E36" s="33" t="e">
        <f t="shared" si="33"/>
        <v>#DIV/0!</v>
      </c>
      <c r="F36" s="33" t="e">
        <f t="shared" si="33"/>
        <v>#DIV/0!</v>
      </c>
      <c r="G36" s="33" t="e">
        <f t="shared" si="33"/>
        <v>#DIV/0!</v>
      </c>
      <c r="H36" s="33" t="e">
        <f t="shared" si="33"/>
        <v>#DIV/0!</v>
      </c>
      <c r="I36" s="33" t="e">
        <f t="shared" si="33"/>
        <v>#DIV/0!</v>
      </c>
      <c r="J36" s="33" t="e">
        <f t="shared" si="33"/>
        <v>#DIV/0!</v>
      </c>
      <c r="K36" s="33" t="e">
        <f t="shared" si="33"/>
        <v>#DIV/0!</v>
      </c>
      <c r="L36" s="33" t="e">
        <f t="shared" si="33"/>
        <v>#DIV/0!</v>
      </c>
      <c r="M36" s="57" t="e">
        <f t="shared" si="33"/>
        <v>#DIV/0!</v>
      </c>
      <c r="N36" s="61"/>
    </row>
    <row r="37" spans="1:14" x14ac:dyDescent="0.3">
      <c r="A37" s="40" t="s">
        <v>29</v>
      </c>
      <c r="B37" s="35">
        <f>((B31+B34)*B11/B12)/(B21*(B11/B12))</f>
        <v>416.66666666666669</v>
      </c>
      <c r="C37" s="33">
        <f t="shared" ref="C37:M37" si="34">((C31+C34)*C11/C12)/(C21*(C11/C12))</f>
        <v>441.1764705882353</v>
      </c>
      <c r="D37" s="33" t="e">
        <f t="shared" si="34"/>
        <v>#DIV/0!</v>
      </c>
      <c r="E37" s="33" t="e">
        <f t="shared" si="34"/>
        <v>#DIV/0!</v>
      </c>
      <c r="F37" s="33" t="e">
        <f t="shared" si="34"/>
        <v>#DIV/0!</v>
      </c>
      <c r="G37" s="33" t="e">
        <f t="shared" si="34"/>
        <v>#DIV/0!</v>
      </c>
      <c r="H37" s="33" t="e">
        <f t="shared" si="34"/>
        <v>#DIV/0!</v>
      </c>
      <c r="I37" s="33" t="e">
        <f t="shared" si="34"/>
        <v>#DIV/0!</v>
      </c>
      <c r="J37" s="33" t="e">
        <f t="shared" si="34"/>
        <v>#DIV/0!</v>
      </c>
      <c r="K37" s="33" t="e">
        <f t="shared" si="34"/>
        <v>#DIV/0!</v>
      </c>
      <c r="L37" s="33" t="e">
        <f t="shared" si="34"/>
        <v>#DIV/0!</v>
      </c>
      <c r="M37" s="57" t="e">
        <f t="shared" si="34"/>
        <v>#DIV/0!</v>
      </c>
      <c r="N37" s="61"/>
    </row>
    <row r="38" spans="1:14" ht="15" thickBot="1" x14ac:dyDescent="0.35">
      <c r="A38" s="27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58"/>
      <c r="N38" s="62"/>
    </row>
  </sheetData>
  <mergeCells count="1">
    <mergeCell ref="B1:M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2020-08-13T12:18:09Z</dcterms:modified>
</cp:coreProperties>
</file>