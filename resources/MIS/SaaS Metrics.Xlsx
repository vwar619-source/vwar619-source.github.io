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M37" i="1" l="1"/>
  <c r="L37" i="1"/>
  <c r="K37" i="1"/>
  <c r="J37" i="1"/>
  <c r="I37" i="1"/>
  <c r="H37" i="1"/>
  <c r="G37" i="1"/>
  <c r="F37" i="1"/>
  <c r="E37" i="1"/>
  <c r="D37" i="1"/>
  <c r="C37" i="1"/>
  <c r="B37" i="1"/>
  <c r="N64" i="1"/>
  <c r="N63" i="1"/>
  <c r="N62" i="1"/>
  <c r="M66" i="1"/>
  <c r="L66" i="1"/>
  <c r="K66" i="1"/>
  <c r="J66" i="1"/>
  <c r="I66" i="1"/>
  <c r="H66" i="1"/>
  <c r="G66" i="1"/>
  <c r="F66" i="1"/>
  <c r="E66" i="1"/>
  <c r="D66" i="1"/>
  <c r="C66" i="1"/>
  <c r="M65" i="1"/>
  <c r="L65" i="1"/>
  <c r="K65" i="1"/>
  <c r="J65" i="1"/>
  <c r="I65" i="1"/>
  <c r="H65" i="1"/>
  <c r="G65" i="1"/>
  <c r="F65" i="1"/>
  <c r="E65" i="1"/>
  <c r="D65" i="1"/>
  <c r="C65" i="1"/>
  <c r="B65" i="1"/>
  <c r="B66" i="1" s="1"/>
  <c r="M64" i="1"/>
  <c r="L64" i="1"/>
  <c r="K64" i="1"/>
  <c r="J64" i="1"/>
  <c r="I64" i="1"/>
  <c r="H64" i="1"/>
  <c r="G64" i="1"/>
  <c r="F64" i="1"/>
  <c r="E64" i="1"/>
  <c r="D64" i="1"/>
  <c r="C64" i="1"/>
  <c r="B64" i="1"/>
  <c r="N36" i="1"/>
  <c r="N34" i="1"/>
  <c r="N33" i="1"/>
  <c r="M24" i="1"/>
  <c r="L24" i="1"/>
  <c r="L56" i="1" s="1"/>
  <c r="L57" i="1" s="1"/>
  <c r="K24" i="1"/>
  <c r="J24" i="1"/>
  <c r="I24" i="1"/>
  <c r="H24" i="1"/>
  <c r="H56" i="1" s="1"/>
  <c r="H57" i="1" s="1"/>
  <c r="G24" i="1"/>
  <c r="G56" i="1" s="1"/>
  <c r="G57" i="1" s="1"/>
  <c r="F24" i="1"/>
  <c r="F56" i="1" s="1"/>
  <c r="F57" i="1" s="1"/>
  <c r="E24" i="1"/>
  <c r="D24" i="1"/>
  <c r="D56" i="1" s="1"/>
  <c r="D57" i="1" s="1"/>
  <c r="C24" i="1"/>
  <c r="J57" i="1"/>
  <c r="I57" i="1"/>
  <c r="B57" i="1"/>
  <c r="M56" i="1"/>
  <c r="M57" i="1" s="1"/>
  <c r="K56" i="1"/>
  <c r="K57" i="1" s="1"/>
  <c r="J56" i="1"/>
  <c r="I56" i="1"/>
  <c r="E56" i="1"/>
  <c r="E57" i="1" s="1"/>
  <c r="C56" i="1"/>
  <c r="C57" i="1" s="1"/>
  <c r="B56" i="1"/>
  <c r="B24" i="1"/>
  <c r="M55" i="1"/>
  <c r="L55" i="1"/>
  <c r="K55" i="1"/>
  <c r="J55" i="1"/>
  <c r="I55" i="1"/>
  <c r="H55" i="1"/>
  <c r="G55" i="1"/>
  <c r="F55" i="1"/>
  <c r="E55" i="1"/>
  <c r="D55" i="1"/>
  <c r="C55" i="1"/>
  <c r="M43" i="1"/>
  <c r="L43" i="1"/>
  <c r="K43" i="1"/>
  <c r="J43" i="1"/>
  <c r="I43" i="1"/>
  <c r="H43" i="1"/>
  <c r="G43" i="1"/>
  <c r="F43" i="1"/>
  <c r="E43" i="1"/>
  <c r="D43" i="1"/>
  <c r="C43" i="1"/>
  <c r="B43" i="1"/>
  <c r="B55" i="1" s="1"/>
  <c r="M38" i="1"/>
  <c r="L38" i="1"/>
  <c r="K38" i="1"/>
  <c r="J38" i="1"/>
  <c r="I38" i="1"/>
  <c r="H38" i="1"/>
  <c r="G38" i="1"/>
  <c r="F38" i="1"/>
  <c r="E38" i="1"/>
  <c r="D38" i="1"/>
  <c r="C38" i="1"/>
  <c r="B38" i="1"/>
  <c r="B39" i="1" s="1"/>
  <c r="C31" i="1" s="1"/>
  <c r="M35" i="1"/>
  <c r="L35" i="1"/>
  <c r="K35" i="1"/>
  <c r="J35" i="1"/>
  <c r="I35" i="1"/>
  <c r="H35" i="1"/>
  <c r="G35" i="1"/>
  <c r="F35" i="1"/>
  <c r="E35" i="1"/>
  <c r="D35" i="1"/>
  <c r="C35" i="1"/>
  <c r="B35" i="1"/>
  <c r="C39" i="1" l="1"/>
  <c r="B42" i="1"/>
  <c r="N50" i="1"/>
  <c r="N47" i="1"/>
  <c r="M51" i="1"/>
  <c r="L51" i="1"/>
  <c r="K51" i="1"/>
  <c r="J51" i="1"/>
  <c r="I51" i="1"/>
  <c r="H51" i="1"/>
  <c r="G51" i="1"/>
  <c r="F51" i="1"/>
  <c r="E51" i="1"/>
  <c r="D51" i="1"/>
  <c r="C51" i="1"/>
  <c r="M52" i="1"/>
  <c r="L52" i="1"/>
  <c r="K52" i="1"/>
  <c r="J52" i="1"/>
  <c r="I52" i="1"/>
  <c r="H52" i="1"/>
  <c r="G52" i="1"/>
  <c r="F52" i="1"/>
  <c r="E52" i="1"/>
  <c r="D52" i="1"/>
  <c r="C52" i="1"/>
  <c r="B52" i="1"/>
  <c r="M49" i="1"/>
  <c r="L49" i="1"/>
  <c r="K49" i="1"/>
  <c r="J49" i="1"/>
  <c r="I49" i="1"/>
  <c r="H49" i="1"/>
  <c r="G49" i="1"/>
  <c r="F49" i="1"/>
  <c r="E49" i="1"/>
  <c r="D49" i="1"/>
  <c r="C49" i="1"/>
  <c r="B49" i="1"/>
  <c r="B51" i="1"/>
  <c r="B26" i="1"/>
  <c r="M25" i="1"/>
  <c r="L25" i="1"/>
  <c r="K25" i="1"/>
  <c r="J25" i="1"/>
  <c r="I25" i="1"/>
  <c r="H25" i="1"/>
  <c r="G25" i="1"/>
  <c r="F25" i="1"/>
  <c r="E25" i="1"/>
  <c r="D25" i="1"/>
  <c r="C25" i="1"/>
  <c r="B25" i="1"/>
  <c r="C20" i="1" s="1"/>
  <c r="N23" i="1"/>
  <c r="N21" i="1"/>
  <c r="N11" i="1"/>
  <c r="N10" i="1"/>
  <c r="N6" i="1"/>
  <c r="M12" i="1"/>
  <c r="M15" i="1" s="1"/>
  <c r="L12" i="1"/>
  <c r="L15" i="1" s="1"/>
  <c r="K12" i="1"/>
  <c r="L22" i="1" s="1"/>
  <c r="J12" i="1"/>
  <c r="J15" i="1" s="1"/>
  <c r="I12" i="1"/>
  <c r="I15" i="1" s="1"/>
  <c r="H12" i="1"/>
  <c r="H15" i="1" s="1"/>
  <c r="G12" i="1"/>
  <c r="G48" i="1" s="1"/>
  <c r="F12" i="1"/>
  <c r="G22" i="1" s="1"/>
  <c r="E12" i="1"/>
  <c r="E15" i="1" s="1"/>
  <c r="D12" i="1"/>
  <c r="D48" i="1" s="1"/>
  <c r="C12" i="1"/>
  <c r="C15" i="1" s="1"/>
  <c r="B12" i="1"/>
  <c r="B53" i="1" s="1"/>
  <c r="M7" i="1"/>
  <c r="L7" i="1"/>
  <c r="K7" i="1"/>
  <c r="J7" i="1"/>
  <c r="I7" i="1"/>
  <c r="H7" i="1"/>
  <c r="G7" i="1"/>
  <c r="F7" i="1"/>
  <c r="E7" i="1"/>
  <c r="D7" i="1"/>
  <c r="C7" i="1"/>
  <c r="D31" i="1" l="1"/>
  <c r="C42" i="1"/>
  <c r="C40" i="1"/>
  <c r="J48" i="1"/>
  <c r="F48" i="1"/>
  <c r="J53" i="1"/>
  <c r="F53" i="1"/>
  <c r="L48" i="1"/>
  <c r="L53" i="1"/>
  <c r="D53" i="1"/>
  <c r="M48" i="1"/>
  <c r="E48" i="1"/>
  <c r="G53" i="1"/>
  <c r="H53" i="1"/>
  <c r="C13" i="1"/>
  <c r="H22" i="1"/>
  <c r="I53" i="1"/>
  <c r="H48" i="1"/>
  <c r="B48" i="1"/>
  <c r="I48" i="1"/>
  <c r="C53" i="1"/>
  <c r="K53" i="1"/>
  <c r="D20" i="1"/>
  <c r="C48" i="1"/>
  <c r="K48" i="1"/>
  <c r="E53" i="1"/>
  <c r="M53" i="1"/>
  <c r="C26" i="1"/>
  <c r="C27" i="1" s="1"/>
  <c r="J13" i="1"/>
  <c r="K13" i="1"/>
  <c r="F22" i="1"/>
  <c r="I22" i="1"/>
  <c r="E13" i="1"/>
  <c r="J22" i="1"/>
  <c r="C22" i="1"/>
  <c r="K15" i="1"/>
  <c r="D22" i="1"/>
  <c r="K22" i="1"/>
  <c r="E22" i="1"/>
  <c r="M22" i="1"/>
  <c r="E20" i="1"/>
  <c r="F13" i="1"/>
  <c r="D15" i="1"/>
  <c r="N12" i="1"/>
  <c r="L13" i="1"/>
  <c r="M13" i="1"/>
  <c r="D13" i="1"/>
  <c r="G13" i="1"/>
  <c r="F15" i="1"/>
  <c r="H13" i="1"/>
  <c r="G15" i="1"/>
  <c r="I13" i="1"/>
  <c r="B16" i="1"/>
  <c r="C8" i="1" s="1"/>
  <c r="C16" i="1" s="1"/>
  <c r="D8" i="1" s="1"/>
  <c r="D16" i="1" s="1"/>
  <c r="E8" i="1" s="1"/>
  <c r="E16" i="1" s="1"/>
  <c r="F8" i="1" s="1"/>
  <c r="F16" i="1" s="1"/>
  <c r="G8" i="1" s="1"/>
  <c r="G16" i="1" s="1"/>
  <c r="H8" i="1" s="1"/>
  <c r="H16" i="1" s="1"/>
  <c r="I8" i="1" s="1"/>
  <c r="I16" i="1" s="1"/>
  <c r="J8" i="1" s="1"/>
  <c r="J16" i="1" s="1"/>
  <c r="K8" i="1" s="1"/>
  <c r="K16" i="1" s="1"/>
  <c r="L8" i="1" s="1"/>
  <c r="L16" i="1" s="1"/>
  <c r="M8" i="1" s="1"/>
  <c r="M16" i="1" s="1"/>
  <c r="B15" i="1"/>
  <c r="D39" i="1" l="1"/>
  <c r="D26" i="1"/>
  <c r="D27" i="1" s="1"/>
  <c r="F20" i="1"/>
  <c r="E26" i="1"/>
  <c r="E31" i="1" l="1"/>
  <c r="D42" i="1"/>
  <c r="D40" i="1"/>
  <c r="E27" i="1"/>
  <c r="G20" i="1"/>
  <c r="F26" i="1"/>
  <c r="F27" i="1" s="1"/>
  <c r="E39" i="1" l="1"/>
  <c r="H20" i="1"/>
  <c r="G26" i="1"/>
  <c r="G27" i="1" s="1"/>
  <c r="E42" i="1" l="1"/>
  <c r="E40" i="1"/>
  <c r="F31" i="1"/>
  <c r="I20" i="1"/>
  <c r="H26" i="1"/>
  <c r="H27" i="1" s="1"/>
  <c r="F39" i="1" l="1"/>
  <c r="J20" i="1"/>
  <c r="I26" i="1"/>
  <c r="F42" i="1" l="1"/>
  <c r="G31" i="1"/>
  <c r="F40" i="1"/>
  <c r="K20" i="1"/>
  <c r="J26" i="1"/>
  <c r="J27" i="1" s="1"/>
  <c r="I27" i="1"/>
  <c r="G39" i="1" l="1"/>
  <c r="L20" i="1"/>
  <c r="K26" i="1"/>
  <c r="K27" i="1" s="1"/>
  <c r="G42" i="1" l="1"/>
  <c r="H31" i="1"/>
  <c r="G40" i="1"/>
  <c r="M20" i="1"/>
  <c r="L26" i="1"/>
  <c r="L27" i="1" s="1"/>
  <c r="H39" i="1" l="1"/>
  <c r="M26" i="1"/>
  <c r="M27" i="1"/>
  <c r="H42" i="1" l="1"/>
  <c r="I31" i="1"/>
  <c r="H40" i="1"/>
  <c r="I39" i="1" l="1"/>
  <c r="I42" i="1" l="1"/>
  <c r="J31" i="1"/>
  <c r="I40" i="1"/>
  <c r="J39" i="1" l="1"/>
  <c r="J42" i="1" l="1"/>
  <c r="J40" i="1"/>
  <c r="K31" i="1"/>
  <c r="K39" i="1" l="1"/>
  <c r="K42" i="1" l="1"/>
  <c r="K40" i="1"/>
  <c r="L31" i="1"/>
  <c r="L39" i="1" l="1"/>
  <c r="L42" i="1" l="1"/>
  <c r="L40" i="1"/>
  <c r="M31" i="1"/>
  <c r="M39" i="1" l="1"/>
  <c r="M40" i="1" l="1"/>
  <c r="M42" i="1"/>
</calcChain>
</file>

<file path=xl/sharedStrings.xml><?xml version="1.0" encoding="utf-8"?>
<sst xmlns="http://schemas.openxmlformats.org/spreadsheetml/2006/main" count="54" uniqueCount="53">
  <si>
    <t>Particulars</t>
  </si>
  <si>
    <t>Totals</t>
  </si>
  <si>
    <t>m/m Growth</t>
  </si>
  <si>
    <t>Organic</t>
  </si>
  <si>
    <t>Paid</t>
  </si>
  <si>
    <t>CUSTOMERS</t>
  </si>
  <si>
    <t>Customers beginning of the month</t>
  </si>
  <si>
    <t>New customers</t>
  </si>
  <si>
    <t>Lost customers</t>
  </si>
  <si>
    <t>Churn rate</t>
  </si>
  <si>
    <t>Net new customers</t>
  </si>
  <si>
    <t>Customers end of month</t>
  </si>
  <si>
    <t>m/m growth customers</t>
  </si>
  <si>
    <t>Conversion rate</t>
  </si>
  <si>
    <t>CAC</t>
  </si>
  <si>
    <t>Marketing spendings</t>
  </si>
  <si>
    <t>Marketing spendings per signup (blended)</t>
  </si>
  <si>
    <t>Sales spendings</t>
  </si>
  <si>
    <t>Total CAC (blended)</t>
  </si>
  <si>
    <t>Marketing spendings per paid signup</t>
  </si>
  <si>
    <t>Sales spendings per new paying customer</t>
  </si>
  <si>
    <t>Total CAC (paid signups)</t>
  </si>
  <si>
    <t>VISITORS  SIGNUP</t>
  </si>
  <si>
    <t>Visitors</t>
  </si>
  <si>
    <t>Op. SignUps</t>
  </si>
  <si>
    <t>SignUps Recd</t>
  </si>
  <si>
    <t>Total New SignUps</t>
  </si>
  <si>
    <t>Visitors to SignUp Conversion Ratio</t>
  </si>
  <si>
    <t>Cl. SignUp</t>
  </si>
  <si>
    <t>MRR beginning of the month</t>
  </si>
  <si>
    <t>New MRR</t>
  </si>
  <si>
    <t>New MRR from new customers</t>
  </si>
  <si>
    <t>Total new MRR</t>
  </si>
  <si>
    <t>Net new MRR</t>
  </si>
  <si>
    <t>MRR end of month</t>
  </si>
  <si>
    <t>m/m growth MRR</t>
  </si>
  <si>
    <t>ARPA (p.m.)</t>
  </si>
  <si>
    <t>ARPA new customers (p.m.)</t>
  </si>
  <si>
    <t>MRR</t>
  </si>
  <si>
    <t>Time-to-recover CAC for paid signups (months)</t>
  </si>
  <si>
    <t>CLTV/CAC (paid signups)</t>
  </si>
  <si>
    <t>New MRR from account expansions</t>
  </si>
  <si>
    <t>Lost MRR</t>
  </si>
  <si>
    <t>MRR churn rate</t>
  </si>
  <si>
    <t>CLTV</t>
  </si>
  <si>
    <t>CASHFLOW, BURNRATE &amp; RUNWAY</t>
  </si>
  <si>
    <t>Cash beginning of month</t>
  </si>
  <si>
    <t>Cash coming in</t>
  </si>
  <si>
    <t>Cash going out</t>
  </si>
  <si>
    <t>Net cash burn</t>
  </si>
  <si>
    <t>Cash end of month</t>
  </si>
  <si>
    <t>Runway at current burn (months)</t>
  </si>
  <si>
    <t>SAAS METRICS 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</si>
</sst>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0" fillId="0" borderId="8" xfId="0" applyBorder="1"/>
    <xf numFmtId="164" fontId="0" fillId="3" borderId="8" xfId="1" applyNumberFormat="1" applyFont="1" applyFill="1" applyBorder="1"/>
    <xf numFmtId="164" fontId="0" fillId="0" borderId="8" xfId="0" applyNumberFormat="1" applyBorder="1"/>
    <xf numFmtId="9" fontId="0" fillId="0" borderId="8" xfId="2" applyFont="1" applyBorder="1"/>
    <xf numFmtId="0" fontId="0" fillId="3" borderId="8" xfId="0" applyFill="1" applyBorder="1"/>
    <xf numFmtId="164" fontId="0" fillId="0" borderId="8" xfId="1" applyNumberFormat="1" applyFont="1" applyBorder="1"/>
    <xf numFmtId="10" fontId="0" fillId="0" borderId="8" xfId="2" applyNumberFormat="1" applyFont="1" applyBorder="1"/>
    <xf numFmtId="164" fontId="0" fillId="3" borderId="9" xfId="1" applyNumberFormat="1" applyFont="1" applyFill="1" applyBorder="1"/>
    <xf numFmtId="0" fontId="2" fillId="2" borderId="1" xfId="0" applyFont="1" applyFill="1" applyBorder="1" applyAlignment="1">
      <alignment horizontal="center"/>
    </xf>
    <xf numFmtId="17" fontId="2" fillId="2" borderId="1" xfId="0" applyNumberFormat="1" applyFont="1" applyFill="1" applyBorder="1" applyAlignment="1">
      <alignment horizontal="center"/>
    </xf>
    <xf numFmtId="17" fontId="2" fillId="2" borderId="10" xfId="0" applyNumberFormat="1" applyFont="1" applyFill="1" applyBorder="1" applyAlignment="1">
      <alignment horizontal="center"/>
    </xf>
    <xf numFmtId="164" fontId="0" fillId="3" borderId="11" xfId="1" applyNumberFormat="1" applyFont="1" applyFill="1" applyBorder="1"/>
    <xf numFmtId="0" fontId="0" fillId="0" borderId="12" xfId="0" applyBorder="1"/>
    <xf numFmtId="0" fontId="0" fillId="3" borderId="12" xfId="0" applyFill="1" applyBorder="1"/>
    <xf numFmtId="164" fontId="0" fillId="3" borderId="12" xfId="1" applyNumberFormat="1" applyFont="1" applyFill="1" applyBorder="1"/>
    <xf numFmtId="164" fontId="0" fillId="0" borderId="12" xfId="1" applyNumberFormat="1" applyFont="1" applyBorder="1"/>
    <xf numFmtId="10" fontId="0" fillId="0" borderId="12" xfId="2" applyNumberFormat="1" applyFont="1" applyBorder="1"/>
    <xf numFmtId="0" fontId="0" fillId="0" borderId="14" xfId="0" applyBorder="1"/>
    <xf numFmtId="0" fontId="5" fillId="0" borderId="14" xfId="0" applyFont="1" applyBorder="1"/>
    <xf numFmtId="0" fontId="4" fillId="0" borderId="14" xfId="0" applyFont="1" applyBorder="1"/>
    <xf numFmtId="0" fontId="0" fillId="0" borderId="15" xfId="0" applyBorder="1"/>
    <xf numFmtId="0" fontId="0" fillId="0" borderId="16" xfId="0" applyBorder="1"/>
    <xf numFmtId="0" fontId="2" fillId="0" borderId="14" xfId="0" applyFont="1" applyBorder="1"/>
    <xf numFmtId="0" fontId="2" fillId="3" borderId="12" xfId="0" applyFont="1" applyFill="1" applyBorder="1"/>
    <xf numFmtId="17" fontId="2" fillId="0" borderId="17" xfId="0" applyNumberFormat="1" applyFont="1" applyFill="1" applyBorder="1" applyAlignment="1">
      <alignment horizontal="center"/>
    </xf>
    <xf numFmtId="17" fontId="2" fillId="0" borderId="18" xfId="0" applyNumberFormat="1" applyFont="1" applyFill="1" applyBorder="1" applyAlignment="1">
      <alignment horizontal="center"/>
    </xf>
    <xf numFmtId="43" fontId="0" fillId="0" borderId="8" xfId="1" applyFont="1" applyBorder="1"/>
    <xf numFmtId="164" fontId="2" fillId="2" borderId="1" xfId="1" applyNumberFormat="1" applyFont="1" applyFill="1" applyBorder="1" applyAlignment="1">
      <alignment horizontal="center"/>
    </xf>
    <xf numFmtId="43" fontId="0" fillId="0" borderId="12" xfId="1" applyFont="1" applyBorder="1"/>
    <xf numFmtId="9" fontId="0" fillId="0" borderId="12" xfId="2" applyFont="1" applyBorder="1"/>
    <xf numFmtId="164" fontId="2" fillId="0" borderId="12" xfId="1" applyNumberFormat="1" applyFont="1" applyBorder="1"/>
    <xf numFmtId="164" fontId="2" fillId="0" borderId="8" xfId="1" applyNumberFormat="1" applyFont="1" applyBorder="1"/>
    <xf numFmtId="9" fontId="6" fillId="0" borderId="8" xfId="2" applyFont="1" applyBorder="1"/>
    <xf numFmtId="0" fontId="0" fillId="0" borderId="19" xfId="0" applyBorder="1"/>
    <xf numFmtId="164" fontId="2" fillId="0" borderId="0" xfId="1" applyNumberFormat="1" applyFont="1"/>
    <xf numFmtId="164" fontId="0" fillId="0" borderId="12" xfId="0" applyNumberFormat="1" applyBorder="1"/>
    <xf numFmtId="0" fontId="0" fillId="0" borderId="20" xfId="0" applyBorder="1"/>
    <xf numFmtId="0" fontId="0" fillId="0" borderId="21" xfId="0" applyBorder="1"/>
    <xf numFmtId="17" fontId="2" fillId="2" borderId="22" xfId="0" applyNumberFormat="1" applyFont="1" applyFill="1" applyBorder="1" applyAlignment="1">
      <alignment horizontal="center"/>
    </xf>
    <xf numFmtId="17" fontId="2" fillId="0" borderId="23" xfId="0" applyNumberFormat="1" applyFont="1" applyFill="1" applyBorder="1" applyAlignment="1">
      <alignment horizontal="center"/>
    </xf>
    <xf numFmtId="164" fontId="0" fillId="3" borderId="24" xfId="1" applyNumberFormat="1" applyFont="1" applyFill="1" applyBorder="1"/>
    <xf numFmtId="9" fontId="6" fillId="0" borderId="25" xfId="2" applyFont="1" applyBorder="1"/>
    <xf numFmtId="164" fontId="0" fillId="0" borderId="25" xfId="0" applyNumberFormat="1" applyBorder="1"/>
    <xf numFmtId="0" fontId="0" fillId="0" borderId="25" xfId="0" applyBorder="1"/>
    <xf numFmtId="164" fontId="0" fillId="3" borderId="25" xfId="1" applyNumberFormat="1" applyFont="1" applyFill="1" applyBorder="1"/>
    <xf numFmtId="164" fontId="0" fillId="0" borderId="25" xfId="1" applyNumberFormat="1" applyFont="1" applyBorder="1"/>
    <xf numFmtId="10" fontId="0" fillId="0" borderId="25" xfId="2" applyNumberFormat="1" applyFont="1" applyBorder="1"/>
    <xf numFmtId="0" fontId="0" fillId="3" borderId="25" xfId="0" applyFill="1" applyBorder="1"/>
    <xf numFmtId="9" fontId="0" fillId="0" borderId="25" xfId="2" applyFont="1" applyBorder="1"/>
    <xf numFmtId="164" fontId="2" fillId="0" borderId="25" xfId="1" applyNumberFormat="1" applyFont="1" applyBorder="1"/>
    <xf numFmtId="43" fontId="0" fillId="0" borderId="25" xfId="1" applyFont="1" applyBorder="1"/>
    <xf numFmtId="0" fontId="0" fillId="0" borderId="26" xfId="0" applyBorder="1"/>
    <xf numFmtId="164" fontId="2" fillId="4" borderId="13" xfId="1" applyNumberFormat="1" applyFont="1" applyFill="1" applyBorder="1" applyAlignment="1">
      <alignment horizontal="center"/>
    </xf>
    <xf numFmtId="164" fontId="2" fillId="4" borderId="16" xfId="1" applyNumberFormat="1" applyFont="1" applyFill="1" applyBorder="1"/>
    <xf numFmtId="164" fontId="2" fillId="4" borderId="14" xfId="1" applyNumberFormat="1" applyFont="1" applyFill="1" applyBorder="1"/>
    <xf numFmtId="164" fontId="2" fillId="4" borderId="15" xfId="1" applyNumberFormat="1" applyFont="1" applyFill="1" applyBorder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0" borderId="27" xfId="0" applyBorder="1"/>
    <xf numFmtId="43" fontId="0" fillId="0" borderId="28" xfId="1" applyFont="1" applyBorder="1"/>
    <xf numFmtId="43" fontId="0" fillId="0" borderId="29" xfId="1" applyFont="1" applyBorder="1"/>
    <xf numFmtId="43" fontId="0" fillId="0" borderId="30" xfId="1" applyFont="1" applyBorder="1"/>
    <xf numFmtId="164" fontId="2" fillId="4" borderId="19" xfId="1" applyNumberFormat="1" applyFont="1" applyFill="1" applyBorder="1"/>
    <xf numFmtId="0" fontId="7" fillId="0" borderId="14" xfId="0" applyFont="1" applyBorder="1"/>
    <xf numFmtId="165" fontId="0" fillId="0" borderId="12" xfId="1" applyNumberFormat="1" applyFont="1" applyBorder="1"/>
    <xf numFmtId="165" fontId="0" fillId="0" borderId="8" xfId="1" applyNumberFormat="1" applyFont="1" applyBorder="1"/>
    <xf numFmtId="165" fontId="0" fillId="0" borderId="25" xfId="1" applyNumberFormat="1" applyFont="1" applyBorder="1"/>
    <xf numFmtId="43" fontId="0" fillId="0" borderId="12" xfId="1" applyNumberFormat="1" applyFont="1" applyBorder="1"/>
    <xf numFmtId="43" fontId="0" fillId="0" borderId="8" xfId="1" applyNumberFormat="1" applyFont="1" applyBorder="1"/>
    <xf numFmtId="43" fontId="0" fillId="0" borderId="25" xfId="1" applyNumberFormat="1" applyFont="1" applyBorder="1"/>
    <xf numFmtId="164" fontId="0" fillId="3" borderId="28" xfId="1" applyNumberFormat="1" applyFont="1" applyFill="1" applyBorder="1"/>
    <xf numFmtId="164" fontId="0" fillId="0" borderId="29" xfId="1" applyNumberFormat="1" applyFont="1" applyBorder="1"/>
    <xf numFmtId="164" fontId="0" fillId="0" borderId="30" xfId="1" applyNumberFormat="1" applyFont="1" applyBorder="1"/>
    <xf numFmtId="164" fontId="0" fillId="3" borderId="29" xfId="1" applyNumberFormat="1" applyFont="1" applyFill="1" applyBorder="1"/>
    <xf numFmtId="164" fontId="0" fillId="3" borderId="30" xfId="1" applyNumberFormat="1" applyFont="1" applyFill="1" applyBorder="1"/>
    <xf numFmtId="164" fontId="0" fillId="0" borderId="28" xfId="1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tabSelected="1" topLeftCell="A43" workbookViewId="0">
      <selection activeCell="C55" sqref="C55"/>
    </sheetView>
  </sheetViews>
  <sheetFormatPr defaultRowHeight="14.4" x14ac:dyDescent="0.3"/>
  <cols>
    <col min="1" max="1" width="39.6640625" bestFit="1" customWidth="1"/>
    <col min="2" max="3" width="9.88671875" bestFit="1" customWidth="1"/>
    <col min="14" max="14" width="8.88671875" style="35"/>
  </cols>
  <sheetData>
    <row r="1" spans="1:14" x14ac:dyDescent="0.3">
      <c r="B1" s="57" t="s">
        <v>52</v>
      </c>
      <c r="C1" s="58"/>
      <c r="D1" s="58"/>
      <c r="E1" s="58"/>
      <c r="F1" s="58"/>
      <c r="G1" s="58"/>
      <c r="H1" s="58"/>
      <c r="I1" s="58"/>
      <c r="J1" s="58"/>
      <c r="K1" s="58"/>
      <c r="L1" s="58"/>
      <c r="M1" s="59"/>
    </row>
    <row r="2" spans="1:14" ht="15" thickBot="1" x14ac:dyDescent="0.35">
      <c r="B2" s="60"/>
      <c r="C2" s="61"/>
      <c r="D2" s="61"/>
      <c r="E2" s="61"/>
      <c r="F2" s="61"/>
      <c r="G2" s="61"/>
      <c r="H2" s="61"/>
      <c r="I2" s="61"/>
      <c r="J2" s="61"/>
      <c r="K2" s="61"/>
      <c r="L2" s="61"/>
      <c r="M2" s="62"/>
    </row>
    <row r="3" spans="1:14" ht="15" thickBot="1" x14ac:dyDescent="0.35"/>
    <row r="4" spans="1:14" ht="15" thickBot="1" x14ac:dyDescent="0.35">
      <c r="A4" s="9" t="s">
        <v>0</v>
      </c>
      <c r="B4" s="11">
        <v>43922</v>
      </c>
      <c r="C4" s="10">
        <v>43952</v>
      </c>
      <c r="D4" s="10">
        <v>43983</v>
      </c>
      <c r="E4" s="10">
        <v>44013</v>
      </c>
      <c r="F4" s="10">
        <v>44044</v>
      </c>
      <c r="G4" s="10">
        <v>44075</v>
      </c>
      <c r="H4" s="10">
        <v>44105</v>
      </c>
      <c r="I4" s="10">
        <v>44136</v>
      </c>
      <c r="J4" s="10">
        <v>44166</v>
      </c>
      <c r="K4" s="10">
        <v>44197</v>
      </c>
      <c r="L4" s="10">
        <v>44228</v>
      </c>
      <c r="M4" s="39">
        <v>44256</v>
      </c>
      <c r="N4" s="28" t="s">
        <v>1</v>
      </c>
    </row>
    <row r="5" spans="1:14" ht="15" thickBot="1" x14ac:dyDescent="0.35">
      <c r="A5" s="9" t="s">
        <v>22</v>
      </c>
      <c r="B5" s="25"/>
      <c r="C5" s="26"/>
      <c r="D5" s="26"/>
      <c r="E5" s="26"/>
      <c r="F5" s="26"/>
      <c r="G5" s="26"/>
      <c r="H5" s="26"/>
      <c r="I5" s="26"/>
      <c r="J5" s="26"/>
      <c r="K5" s="26"/>
      <c r="L5" s="26"/>
      <c r="M5" s="40"/>
      <c r="N5" s="53"/>
    </row>
    <row r="6" spans="1:14" x14ac:dyDescent="0.3">
      <c r="A6" s="22" t="s">
        <v>23</v>
      </c>
      <c r="B6" s="12">
        <v>2500</v>
      </c>
      <c r="C6" s="8">
        <v>3000</v>
      </c>
      <c r="D6" s="8"/>
      <c r="E6" s="8"/>
      <c r="F6" s="8"/>
      <c r="G6" s="8"/>
      <c r="H6" s="8"/>
      <c r="I6" s="8"/>
      <c r="J6" s="8"/>
      <c r="K6" s="8"/>
      <c r="L6" s="8"/>
      <c r="M6" s="41"/>
      <c r="N6" s="54">
        <f>SUM(B6:M6)</f>
        <v>5500</v>
      </c>
    </row>
    <row r="7" spans="1:14" x14ac:dyDescent="0.3">
      <c r="A7" s="19" t="s">
        <v>2</v>
      </c>
      <c r="B7" s="13"/>
      <c r="C7" s="33">
        <f>C6/B6-1</f>
        <v>0.19999999999999996</v>
      </c>
      <c r="D7" s="33">
        <f t="shared" ref="D7:M7" si="0">D6/C6-1</f>
        <v>-1</v>
      </c>
      <c r="E7" s="33" t="e">
        <f t="shared" si="0"/>
        <v>#DIV/0!</v>
      </c>
      <c r="F7" s="33" t="e">
        <f t="shared" si="0"/>
        <v>#DIV/0!</v>
      </c>
      <c r="G7" s="33" t="e">
        <f t="shared" si="0"/>
        <v>#DIV/0!</v>
      </c>
      <c r="H7" s="33" t="e">
        <f t="shared" si="0"/>
        <v>#DIV/0!</v>
      </c>
      <c r="I7" s="33" t="e">
        <f t="shared" si="0"/>
        <v>#DIV/0!</v>
      </c>
      <c r="J7" s="33" t="e">
        <f t="shared" si="0"/>
        <v>#DIV/0!</v>
      </c>
      <c r="K7" s="33" t="e">
        <f t="shared" si="0"/>
        <v>#DIV/0!</v>
      </c>
      <c r="L7" s="33" t="e">
        <f t="shared" si="0"/>
        <v>#DIV/0!</v>
      </c>
      <c r="M7" s="42" t="e">
        <f t="shared" si="0"/>
        <v>#DIV/0!</v>
      </c>
      <c r="N7" s="55"/>
    </row>
    <row r="8" spans="1:14" x14ac:dyDescent="0.3">
      <c r="A8" s="23" t="s">
        <v>24</v>
      </c>
      <c r="B8" s="24">
        <v>50</v>
      </c>
      <c r="C8" s="3">
        <f>B16</f>
        <v>75</v>
      </c>
      <c r="D8" s="3">
        <f t="shared" ref="D8:M8" si="1">C16</f>
        <v>107</v>
      </c>
      <c r="E8" s="3">
        <f t="shared" si="1"/>
        <v>107</v>
      </c>
      <c r="F8" s="3">
        <f t="shared" si="1"/>
        <v>107</v>
      </c>
      <c r="G8" s="3">
        <f t="shared" si="1"/>
        <v>107</v>
      </c>
      <c r="H8" s="3">
        <f t="shared" si="1"/>
        <v>107</v>
      </c>
      <c r="I8" s="3">
        <f t="shared" si="1"/>
        <v>107</v>
      </c>
      <c r="J8" s="3">
        <f t="shared" si="1"/>
        <v>107</v>
      </c>
      <c r="K8" s="3">
        <f t="shared" si="1"/>
        <v>107</v>
      </c>
      <c r="L8" s="3">
        <f t="shared" si="1"/>
        <v>107</v>
      </c>
      <c r="M8" s="43">
        <f t="shared" si="1"/>
        <v>107</v>
      </c>
      <c r="N8" s="55"/>
    </row>
    <row r="9" spans="1:14" x14ac:dyDescent="0.3">
      <c r="A9" s="20" t="s">
        <v>25</v>
      </c>
      <c r="B9" s="13"/>
      <c r="C9" s="1"/>
      <c r="D9" s="1"/>
      <c r="E9" s="1"/>
      <c r="F9" s="1"/>
      <c r="G9" s="1"/>
      <c r="H9" s="1"/>
      <c r="I9" s="1"/>
      <c r="J9" s="1"/>
      <c r="K9" s="1"/>
      <c r="L9" s="1"/>
      <c r="M9" s="44"/>
      <c r="N9" s="55"/>
    </row>
    <row r="10" spans="1:14" x14ac:dyDescent="0.3">
      <c r="A10" s="18" t="s">
        <v>3</v>
      </c>
      <c r="B10" s="15">
        <v>10</v>
      </c>
      <c r="C10" s="2">
        <v>12</v>
      </c>
      <c r="D10" s="2"/>
      <c r="E10" s="2"/>
      <c r="F10" s="2"/>
      <c r="G10" s="2"/>
      <c r="H10" s="2"/>
      <c r="I10" s="2"/>
      <c r="J10" s="2"/>
      <c r="K10" s="2"/>
      <c r="L10" s="2"/>
      <c r="M10" s="45"/>
      <c r="N10" s="55">
        <f>SUM(B10:M10)</f>
        <v>22</v>
      </c>
    </row>
    <row r="11" spans="1:14" x14ac:dyDescent="0.3">
      <c r="A11" s="18" t="s">
        <v>4</v>
      </c>
      <c r="B11" s="15">
        <v>15</v>
      </c>
      <c r="C11" s="2">
        <v>20</v>
      </c>
      <c r="D11" s="2"/>
      <c r="E11" s="2"/>
      <c r="F11" s="2"/>
      <c r="G11" s="2"/>
      <c r="H11" s="2"/>
      <c r="I11" s="2"/>
      <c r="J11" s="2"/>
      <c r="K11" s="2"/>
      <c r="L11" s="2"/>
      <c r="M11" s="45"/>
      <c r="N11" s="55">
        <f>SUM(B11:M11)</f>
        <v>35</v>
      </c>
    </row>
    <row r="12" spans="1:14" x14ac:dyDescent="0.3">
      <c r="A12" s="23" t="s">
        <v>26</v>
      </c>
      <c r="B12" s="16">
        <f>SUM(B10:B11)</f>
        <v>25</v>
      </c>
      <c r="C12" s="6">
        <f t="shared" ref="C12:M12" si="2">SUM(C10:C11)</f>
        <v>32</v>
      </c>
      <c r="D12" s="6">
        <f t="shared" si="2"/>
        <v>0</v>
      </c>
      <c r="E12" s="6">
        <f t="shared" si="2"/>
        <v>0</v>
      </c>
      <c r="F12" s="6">
        <f t="shared" si="2"/>
        <v>0</v>
      </c>
      <c r="G12" s="6">
        <f t="shared" si="2"/>
        <v>0</v>
      </c>
      <c r="H12" s="6">
        <f t="shared" si="2"/>
        <v>0</v>
      </c>
      <c r="I12" s="6">
        <f t="shared" si="2"/>
        <v>0</v>
      </c>
      <c r="J12" s="6">
        <f t="shared" si="2"/>
        <v>0</v>
      </c>
      <c r="K12" s="6">
        <f t="shared" si="2"/>
        <v>0</v>
      </c>
      <c r="L12" s="6">
        <f t="shared" si="2"/>
        <v>0</v>
      </c>
      <c r="M12" s="46">
        <f t="shared" si="2"/>
        <v>0</v>
      </c>
      <c r="N12" s="55">
        <f>SUM(B12:M12)</f>
        <v>57</v>
      </c>
    </row>
    <row r="13" spans="1:14" x14ac:dyDescent="0.3">
      <c r="A13" s="19" t="s">
        <v>2</v>
      </c>
      <c r="B13" s="13"/>
      <c r="C13" s="33">
        <f>C12/B12-1</f>
        <v>0.28000000000000003</v>
      </c>
      <c r="D13" s="33">
        <f t="shared" ref="D13" si="3">D12/C12-1</f>
        <v>-1</v>
      </c>
      <c r="E13" s="33" t="e">
        <f t="shared" ref="E13" si="4">E12/D12-1</f>
        <v>#DIV/0!</v>
      </c>
      <c r="F13" s="33" t="e">
        <f t="shared" ref="F13" si="5">F12/E12-1</f>
        <v>#DIV/0!</v>
      </c>
      <c r="G13" s="33" t="e">
        <f t="shared" ref="G13" si="6">G12/F12-1</f>
        <v>#DIV/0!</v>
      </c>
      <c r="H13" s="33" t="e">
        <f t="shared" ref="H13" si="7">H12/G12-1</f>
        <v>#DIV/0!</v>
      </c>
      <c r="I13" s="33" t="e">
        <f t="shared" ref="I13" si="8">I12/H12-1</f>
        <v>#DIV/0!</v>
      </c>
      <c r="J13" s="33" t="e">
        <f t="shared" ref="J13" si="9">J12/I12-1</f>
        <v>#DIV/0!</v>
      </c>
      <c r="K13" s="33" t="e">
        <f t="shared" ref="K13" si="10">K12/J12-1</f>
        <v>#DIV/0!</v>
      </c>
      <c r="L13" s="33" t="e">
        <f t="shared" ref="L13" si="11">L12/K12-1</f>
        <v>#DIV/0!</v>
      </c>
      <c r="M13" s="42" t="e">
        <f t="shared" ref="M13" si="12">M12/L12-1</f>
        <v>#DIV/0!</v>
      </c>
      <c r="N13" s="55"/>
    </row>
    <row r="14" spans="1:14" x14ac:dyDescent="0.3">
      <c r="A14" s="18"/>
      <c r="B14" s="13"/>
      <c r="C14" s="1"/>
      <c r="D14" s="1"/>
      <c r="E14" s="1"/>
      <c r="F14" s="1"/>
      <c r="G14" s="1"/>
      <c r="H14" s="1"/>
      <c r="I14" s="1"/>
      <c r="J14" s="1"/>
      <c r="K14" s="1"/>
      <c r="L14" s="1"/>
      <c r="M14" s="44"/>
      <c r="N14" s="55"/>
    </row>
    <row r="15" spans="1:14" x14ac:dyDescent="0.3">
      <c r="A15" s="18" t="s">
        <v>27</v>
      </c>
      <c r="B15" s="17">
        <f>B12/B6</f>
        <v>0.01</v>
      </c>
      <c r="C15" s="7">
        <f t="shared" ref="C15:M15" si="13">C12/C6</f>
        <v>1.0666666666666666E-2</v>
      </c>
      <c r="D15" s="7" t="e">
        <f t="shared" si="13"/>
        <v>#DIV/0!</v>
      </c>
      <c r="E15" s="7" t="e">
        <f t="shared" si="13"/>
        <v>#DIV/0!</v>
      </c>
      <c r="F15" s="7" t="e">
        <f t="shared" si="13"/>
        <v>#DIV/0!</v>
      </c>
      <c r="G15" s="7" t="e">
        <f t="shared" si="13"/>
        <v>#DIV/0!</v>
      </c>
      <c r="H15" s="7" t="e">
        <f t="shared" si="13"/>
        <v>#DIV/0!</v>
      </c>
      <c r="I15" s="7" t="e">
        <f t="shared" si="13"/>
        <v>#DIV/0!</v>
      </c>
      <c r="J15" s="7" t="e">
        <f t="shared" si="13"/>
        <v>#DIV/0!</v>
      </c>
      <c r="K15" s="7" t="e">
        <f t="shared" si="13"/>
        <v>#DIV/0!</v>
      </c>
      <c r="L15" s="7" t="e">
        <f t="shared" si="13"/>
        <v>#DIV/0!</v>
      </c>
      <c r="M15" s="47" t="e">
        <f t="shared" si="13"/>
        <v>#DIV/0!</v>
      </c>
      <c r="N15" s="55"/>
    </row>
    <row r="16" spans="1:14" x14ac:dyDescent="0.3">
      <c r="A16" s="23" t="s">
        <v>28</v>
      </c>
      <c r="B16" s="16">
        <f>B8+B12</f>
        <v>75</v>
      </c>
      <c r="C16" s="6">
        <f t="shared" ref="C16:M16" si="14">C8+C12</f>
        <v>107</v>
      </c>
      <c r="D16" s="6">
        <f t="shared" si="14"/>
        <v>107</v>
      </c>
      <c r="E16" s="6">
        <f t="shared" si="14"/>
        <v>107</v>
      </c>
      <c r="F16" s="6">
        <f t="shared" si="14"/>
        <v>107</v>
      </c>
      <c r="G16" s="6">
        <f t="shared" si="14"/>
        <v>107</v>
      </c>
      <c r="H16" s="6">
        <f t="shared" si="14"/>
        <v>107</v>
      </c>
      <c r="I16" s="6">
        <f t="shared" si="14"/>
        <v>107</v>
      </c>
      <c r="J16" s="6">
        <f t="shared" si="14"/>
        <v>107</v>
      </c>
      <c r="K16" s="6">
        <f t="shared" si="14"/>
        <v>107</v>
      </c>
      <c r="L16" s="6">
        <f t="shared" si="14"/>
        <v>107</v>
      </c>
      <c r="M16" s="46">
        <f t="shared" si="14"/>
        <v>107</v>
      </c>
      <c r="N16" s="55"/>
    </row>
    <row r="17" spans="1:14" ht="15" thickBot="1" x14ac:dyDescent="0.35">
      <c r="A17" s="18"/>
      <c r="B17" s="13"/>
      <c r="C17" s="1"/>
      <c r="D17" s="1"/>
      <c r="E17" s="1"/>
      <c r="F17" s="1"/>
      <c r="G17" s="1"/>
      <c r="H17" s="1"/>
      <c r="I17" s="1"/>
      <c r="J17" s="1"/>
      <c r="K17" s="1"/>
      <c r="L17" s="1"/>
      <c r="M17" s="44"/>
      <c r="N17" s="55"/>
    </row>
    <row r="18" spans="1:14" ht="15" thickBot="1" x14ac:dyDescent="0.35">
      <c r="A18" s="9" t="s">
        <v>5</v>
      </c>
      <c r="B18" s="13"/>
      <c r="C18" s="1"/>
      <c r="D18" s="1"/>
      <c r="E18" s="1"/>
      <c r="F18" s="1"/>
      <c r="G18" s="1"/>
      <c r="H18" s="1"/>
      <c r="I18" s="1"/>
      <c r="J18" s="1"/>
      <c r="K18" s="1"/>
      <c r="L18" s="1"/>
      <c r="M18" s="44"/>
      <c r="N18" s="55"/>
    </row>
    <row r="19" spans="1:14" x14ac:dyDescent="0.3">
      <c r="A19" s="18"/>
      <c r="B19" s="13"/>
      <c r="C19" s="1"/>
      <c r="D19" s="1"/>
      <c r="E19" s="1"/>
      <c r="F19" s="1"/>
      <c r="G19" s="1"/>
      <c r="H19" s="1"/>
      <c r="I19" s="1"/>
      <c r="J19" s="1"/>
      <c r="K19" s="1"/>
      <c r="L19" s="1"/>
      <c r="M19" s="44"/>
      <c r="N19" s="55"/>
    </row>
    <row r="20" spans="1:14" x14ac:dyDescent="0.3">
      <c r="A20" s="18" t="s">
        <v>6</v>
      </c>
      <c r="B20" s="14">
        <v>10</v>
      </c>
      <c r="C20" s="3">
        <f>B25</f>
        <v>10</v>
      </c>
      <c r="D20" s="3">
        <f t="shared" ref="D20:M20" si="15">C25</f>
        <v>16</v>
      </c>
      <c r="E20" s="3">
        <f t="shared" si="15"/>
        <v>0</v>
      </c>
      <c r="F20" s="3">
        <f t="shared" si="15"/>
        <v>0</v>
      </c>
      <c r="G20" s="3">
        <f t="shared" si="15"/>
        <v>0</v>
      </c>
      <c r="H20" s="3">
        <f t="shared" si="15"/>
        <v>0</v>
      </c>
      <c r="I20" s="3">
        <f t="shared" si="15"/>
        <v>0</v>
      </c>
      <c r="J20" s="3">
        <f t="shared" si="15"/>
        <v>0</v>
      </c>
      <c r="K20" s="3">
        <f t="shared" si="15"/>
        <v>0</v>
      </c>
      <c r="L20" s="3">
        <f t="shared" si="15"/>
        <v>0</v>
      </c>
      <c r="M20" s="43">
        <f t="shared" si="15"/>
        <v>0</v>
      </c>
      <c r="N20" s="55"/>
    </row>
    <row r="21" spans="1:14" x14ac:dyDescent="0.3">
      <c r="A21" s="18" t="s">
        <v>7</v>
      </c>
      <c r="B21" s="14">
        <v>12</v>
      </c>
      <c r="C21" s="5">
        <v>17</v>
      </c>
      <c r="D21" s="5"/>
      <c r="E21" s="5"/>
      <c r="F21" s="5"/>
      <c r="G21" s="5"/>
      <c r="H21" s="5"/>
      <c r="I21" s="5"/>
      <c r="J21" s="5"/>
      <c r="K21" s="5"/>
      <c r="L21" s="5"/>
      <c r="M21" s="48"/>
      <c r="N21" s="55">
        <f>SUM(B21:M21)</f>
        <v>29</v>
      </c>
    </row>
    <row r="22" spans="1:14" x14ac:dyDescent="0.3">
      <c r="A22" s="18" t="s">
        <v>13</v>
      </c>
      <c r="B22" s="13"/>
      <c r="C22" s="4">
        <f>C21/B12</f>
        <v>0.68</v>
      </c>
      <c r="D22" s="4">
        <f t="shared" ref="D22:M22" si="16">D21/C12</f>
        <v>0</v>
      </c>
      <c r="E22" s="4" t="e">
        <f t="shared" si="16"/>
        <v>#DIV/0!</v>
      </c>
      <c r="F22" s="4" t="e">
        <f t="shared" si="16"/>
        <v>#DIV/0!</v>
      </c>
      <c r="G22" s="4" t="e">
        <f t="shared" si="16"/>
        <v>#DIV/0!</v>
      </c>
      <c r="H22" s="4" t="e">
        <f t="shared" si="16"/>
        <v>#DIV/0!</v>
      </c>
      <c r="I22" s="4" t="e">
        <f t="shared" si="16"/>
        <v>#DIV/0!</v>
      </c>
      <c r="J22" s="4" t="e">
        <f t="shared" si="16"/>
        <v>#DIV/0!</v>
      </c>
      <c r="K22" s="4" t="e">
        <f t="shared" si="16"/>
        <v>#DIV/0!</v>
      </c>
      <c r="L22" s="4" t="e">
        <f t="shared" si="16"/>
        <v>#DIV/0!</v>
      </c>
      <c r="M22" s="49" t="e">
        <f t="shared" si="16"/>
        <v>#DIV/0!</v>
      </c>
      <c r="N22" s="55"/>
    </row>
    <row r="23" spans="1:14" x14ac:dyDescent="0.3">
      <c r="A23" s="18" t="s">
        <v>8</v>
      </c>
      <c r="B23" s="14">
        <v>2</v>
      </c>
      <c r="C23" s="5">
        <v>1</v>
      </c>
      <c r="D23" s="5"/>
      <c r="E23" s="5"/>
      <c r="F23" s="5"/>
      <c r="G23" s="5"/>
      <c r="H23" s="5"/>
      <c r="I23" s="5"/>
      <c r="J23" s="5"/>
      <c r="K23" s="5"/>
      <c r="L23" s="5"/>
      <c r="M23" s="48"/>
      <c r="N23" s="55">
        <f>SUM(B23:M23)</f>
        <v>3</v>
      </c>
    </row>
    <row r="24" spans="1:14" x14ac:dyDescent="0.3">
      <c r="A24" s="18" t="s">
        <v>9</v>
      </c>
      <c r="B24" s="30">
        <f>B23/B20</f>
        <v>0.2</v>
      </c>
      <c r="C24" s="4">
        <f t="shared" ref="C24:M24" si="17">C23/C20</f>
        <v>0.1</v>
      </c>
      <c r="D24" s="4">
        <f t="shared" si="17"/>
        <v>0</v>
      </c>
      <c r="E24" s="4" t="e">
        <f t="shared" si="17"/>
        <v>#DIV/0!</v>
      </c>
      <c r="F24" s="4" t="e">
        <f t="shared" si="17"/>
        <v>#DIV/0!</v>
      </c>
      <c r="G24" s="4" t="e">
        <f t="shared" si="17"/>
        <v>#DIV/0!</v>
      </c>
      <c r="H24" s="4" t="e">
        <f t="shared" si="17"/>
        <v>#DIV/0!</v>
      </c>
      <c r="I24" s="4" t="e">
        <f t="shared" si="17"/>
        <v>#DIV/0!</v>
      </c>
      <c r="J24" s="4" t="e">
        <f t="shared" si="17"/>
        <v>#DIV/0!</v>
      </c>
      <c r="K24" s="4" t="e">
        <f t="shared" si="17"/>
        <v>#DIV/0!</v>
      </c>
      <c r="L24" s="4" t="e">
        <f t="shared" si="17"/>
        <v>#DIV/0!</v>
      </c>
      <c r="M24" s="49" t="e">
        <f t="shared" si="17"/>
        <v>#DIV/0!</v>
      </c>
      <c r="N24" s="55"/>
    </row>
    <row r="25" spans="1:14" x14ac:dyDescent="0.3">
      <c r="A25" s="18" t="s">
        <v>10</v>
      </c>
      <c r="B25" s="31">
        <f>B21-B23</f>
        <v>10</v>
      </c>
      <c r="C25" s="32">
        <f t="shared" ref="C25:M25" si="18">C21-C23</f>
        <v>16</v>
      </c>
      <c r="D25" s="32">
        <f t="shared" si="18"/>
        <v>0</v>
      </c>
      <c r="E25" s="32">
        <f t="shared" si="18"/>
        <v>0</v>
      </c>
      <c r="F25" s="32">
        <f t="shared" si="18"/>
        <v>0</v>
      </c>
      <c r="G25" s="32">
        <f t="shared" si="18"/>
        <v>0</v>
      </c>
      <c r="H25" s="32">
        <f t="shared" si="18"/>
        <v>0</v>
      </c>
      <c r="I25" s="32">
        <f t="shared" si="18"/>
        <v>0</v>
      </c>
      <c r="J25" s="32">
        <f t="shared" si="18"/>
        <v>0</v>
      </c>
      <c r="K25" s="32">
        <f t="shared" si="18"/>
        <v>0</v>
      </c>
      <c r="L25" s="32">
        <f t="shared" si="18"/>
        <v>0</v>
      </c>
      <c r="M25" s="50">
        <f t="shared" si="18"/>
        <v>0</v>
      </c>
      <c r="N25" s="55"/>
    </row>
    <row r="26" spans="1:14" x14ac:dyDescent="0.3">
      <c r="A26" s="18" t="s">
        <v>11</v>
      </c>
      <c r="B26" s="13">
        <f>B20+B21-B23</f>
        <v>20</v>
      </c>
      <c r="C26" s="1">
        <f t="shared" ref="C26:M26" si="19">C20+C21-C23</f>
        <v>26</v>
      </c>
      <c r="D26" s="1">
        <f t="shared" si="19"/>
        <v>16</v>
      </c>
      <c r="E26" s="1">
        <f t="shared" si="19"/>
        <v>0</v>
      </c>
      <c r="F26" s="1">
        <f t="shared" si="19"/>
        <v>0</v>
      </c>
      <c r="G26" s="1">
        <f t="shared" si="19"/>
        <v>0</v>
      </c>
      <c r="H26" s="1">
        <f t="shared" si="19"/>
        <v>0</v>
      </c>
      <c r="I26" s="1">
        <f t="shared" si="19"/>
        <v>0</v>
      </c>
      <c r="J26" s="1">
        <f t="shared" si="19"/>
        <v>0</v>
      </c>
      <c r="K26" s="1">
        <f t="shared" si="19"/>
        <v>0</v>
      </c>
      <c r="L26" s="1">
        <f t="shared" si="19"/>
        <v>0</v>
      </c>
      <c r="M26" s="44">
        <f t="shared" si="19"/>
        <v>0</v>
      </c>
      <c r="N26" s="55"/>
    </row>
    <row r="27" spans="1:14" x14ac:dyDescent="0.3">
      <c r="A27" s="18" t="s">
        <v>12</v>
      </c>
      <c r="B27" s="13"/>
      <c r="C27" s="33">
        <f>C26/B26-1</f>
        <v>0.30000000000000004</v>
      </c>
      <c r="D27" s="33">
        <f t="shared" ref="D27" si="20">D26/C26-1</f>
        <v>-0.38461538461538458</v>
      </c>
      <c r="E27" s="33">
        <f t="shared" ref="E27" si="21">E26/D26-1</f>
        <v>-1</v>
      </c>
      <c r="F27" s="33" t="e">
        <f t="shared" ref="F27" si="22">F26/E26-1</f>
        <v>#DIV/0!</v>
      </c>
      <c r="G27" s="33" t="e">
        <f t="shared" ref="G27" si="23">G26/F26-1</f>
        <v>#DIV/0!</v>
      </c>
      <c r="H27" s="33" t="e">
        <f t="shared" ref="H27" si="24">H26/G26-1</f>
        <v>#DIV/0!</v>
      </c>
      <c r="I27" s="33" t="e">
        <f t="shared" ref="I27" si="25">I26/H26-1</f>
        <v>#DIV/0!</v>
      </c>
      <c r="J27" s="33" t="e">
        <f t="shared" ref="J27" si="26">J26/I26-1</f>
        <v>#DIV/0!</v>
      </c>
      <c r="K27" s="33" t="e">
        <f t="shared" ref="K27" si="27">K26/J26-1</f>
        <v>#DIV/0!</v>
      </c>
      <c r="L27" s="33" t="e">
        <f t="shared" ref="L27" si="28">L26/K26-1</f>
        <v>#DIV/0!</v>
      </c>
      <c r="M27" s="42" t="e">
        <f t="shared" ref="M27" si="29">M26/L26-1</f>
        <v>#DIV/0!</v>
      </c>
      <c r="N27" s="55"/>
    </row>
    <row r="28" spans="1:14" ht="15" thickBot="1" x14ac:dyDescent="0.35">
      <c r="A28" s="18"/>
      <c r="B28" s="13"/>
      <c r="C28" s="1"/>
      <c r="D28" s="1"/>
      <c r="E28" s="1"/>
      <c r="F28" s="1"/>
      <c r="G28" s="1"/>
      <c r="H28" s="1"/>
      <c r="I28" s="1"/>
      <c r="J28" s="1"/>
      <c r="K28" s="1"/>
      <c r="L28" s="1"/>
      <c r="M28" s="44"/>
      <c r="N28" s="55"/>
    </row>
    <row r="29" spans="1:14" ht="15" thickBot="1" x14ac:dyDescent="0.35">
      <c r="A29" s="9" t="s">
        <v>38</v>
      </c>
      <c r="B29" s="13"/>
      <c r="C29" s="1"/>
      <c r="D29" s="1"/>
      <c r="E29" s="1"/>
      <c r="F29" s="1"/>
      <c r="G29" s="1"/>
      <c r="H29" s="1"/>
      <c r="I29" s="1"/>
      <c r="J29" s="1"/>
      <c r="K29" s="1"/>
      <c r="L29" s="1"/>
      <c r="M29" s="44"/>
      <c r="N29" s="55"/>
    </row>
    <row r="30" spans="1:14" x14ac:dyDescent="0.3">
      <c r="A30" s="18"/>
      <c r="B30" s="13"/>
      <c r="C30" s="1"/>
      <c r="D30" s="1"/>
      <c r="E30" s="1"/>
      <c r="F30" s="1"/>
      <c r="G30" s="1"/>
      <c r="H30" s="1"/>
      <c r="I30" s="1"/>
      <c r="J30" s="1"/>
      <c r="K30" s="1"/>
      <c r="L30" s="1"/>
      <c r="M30" s="44"/>
      <c r="N30" s="55"/>
    </row>
    <row r="31" spans="1:14" x14ac:dyDescent="0.3">
      <c r="A31" s="18" t="s">
        <v>29</v>
      </c>
      <c r="B31" s="15">
        <v>20000</v>
      </c>
      <c r="C31" s="6">
        <f>B39</f>
        <v>22550</v>
      </c>
      <c r="D31" s="6">
        <f t="shared" ref="D31:M31" si="30">C39</f>
        <v>22550</v>
      </c>
      <c r="E31" s="6">
        <f t="shared" si="30"/>
        <v>22550</v>
      </c>
      <c r="F31" s="6">
        <f t="shared" si="30"/>
        <v>22550</v>
      </c>
      <c r="G31" s="6">
        <f t="shared" si="30"/>
        <v>22550</v>
      </c>
      <c r="H31" s="6">
        <f t="shared" si="30"/>
        <v>22550</v>
      </c>
      <c r="I31" s="6">
        <f t="shared" si="30"/>
        <v>22550</v>
      </c>
      <c r="J31" s="6">
        <f t="shared" si="30"/>
        <v>22550</v>
      </c>
      <c r="K31" s="6">
        <f t="shared" si="30"/>
        <v>22550</v>
      </c>
      <c r="L31" s="6">
        <f t="shared" si="30"/>
        <v>22550</v>
      </c>
      <c r="M31" s="46">
        <f t="shared" si="30"/>
        <v>22550</v>
      </c>
      <c r="N31" s="55"/>
    </row>
    <row r="32" spans="1:14" x14ac:dyDescent="0.3">
      <c r="A32" s="68" t="s">
        <v>30</v>
      </c>
      <c r="B32" s="16"/>
      <c r="C32" s="6"/>
      <c r="D32" s="6"/>
      <c r="E32" s="6"/>
      <c r="F32" s="6"/>
      <c r="G32" s="6"/>
      <c r="H32" s="6"/>
      <c r="I32" s="6"/>
      <c r="J32" s="6"/>
      <c r="K32" s="6"/>
      <c r="L32" s="6"/>
      <c r="M32" s="46"/>
      <c r="N32" s="55"/>
    </row>
    <row r="33" spans="1:14" x14ac:dyDescent="0.3">
      <c r="A33" s="18" t="s">
        <v>31</v>
      </c>
      <c r="B33" s="15">
        <v>2500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45"/>
      <c r="N33" s="55">
        <f>SUM(B33:M33)</f>
        <v>2500</v>
      </c>
    </row>
    <row r="34" spans="1:14" x14ac:dyDescent="0.3">
      <c r="A34" s="18" t="s">
        <v>41</v>
      </c>
      <c r="B34" s="15">
        <v>200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45"/>
      <c r="N34" s="55">
        <f>SUM(B34:M34)</f>
        <v>200</v>
      </c>
    </row>
    <row r="35" spans="1:14" x14ac:dyDescent="0.3">
      <c r="A35" s="18" t="s">
        <v>32</v>
      </c>
      <c r="B35" s="16">
        <f>SUM(B33:B34)</f>
        <v>2700</v>
      </c>
      <c r="C35" s="6">
        <f t="shared" ref="C35:M35" si="31">SUM(C33:C34)</f>
        <v>0</v>
      </c>
      <c r="D35" s="6">
        <f t="shared" si="31"/>
        <v>0</v>
      </c>
      <c r="E35" s="6">
        <f t="shared" si="31"/>
        <v>0</v>
      </c>
      <c r="F35" s="6">
        <f t="shared" si="31"/>
        <v>0</v>
      </c>
      <c r="G35" s="6">
        <f t="shared" si="31"/>
        <v>0</v>
      </c>
      <c r="H35" s="6">
        <f t="shared" si="31"/>
        <v>0</v>
      </c>
      <c r="I35" s="6">
        <f t="shared" si="31"/>
        <v>0</v>
      </c>
      <c r="J35" s="6">
        <f t="shared" si="31"/>
        <v>0</v>
      </c>
      <c r="K35" s="6">
        <f t="shared" si="31"/>
        <v>0</v>
      </c>
      <c r="L35" s="6">
        <f t="shared" si="31"/>
        <v>0</v>
      </c>
      <c r="M35" s="46">
        <f t="shared" si="31"/>
        <v>0</v>
      </c>
      <c r="N35" s="55"/>
    </row>
    <row r="36" spans="1:14" x14ac:dyDescent="0.3">
      <c r="A36" s="18" t="s">
        <v>42</v>
      </c>
      <c r="B36" s="15">
        <v>150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45"/>
      <c r="N36" s="55">
        <f>SUM(B36:M36)</f>
        <v>150</v>
      </c>
    </row>
    <row r="37" spans="1:14" x14ac:dyDescent="0.3">
      <c r="A37" s="18" t="s">
        <v>43</v>
      </c>
      <c r="B37" s="30">
        <f>B36/B31</f>
        <v>7.4999999999999997E-3</v>
      </c>
      <c r="C37" s="4">
        <f t="shared" ref="C37:M37" si="32">C36/C31</f>
        <v>0</v>
      </c>
      <c r="D37" s="4">
        <f t="shared" si="32"/>
        <v>0</v>
      </c>
      <c r="E37" s="4">
        <f t="shared" si="32"/>
        <v>0</v>
      </c>
      <c r="F37" s="4">
        <f t="shared" si="32"/>
        <v>0</v>
      </c>
      <c r="G37" s="4">
        <f t="shared" si="32"/>
        <v>0</v>
      </c>
      <c r="H37" s="4">
        <f t="shared" si="32"/>
        <v>0</v>
      </c>
      <c r="I37" s="4">
        <f t="shared" si="32"/>
        <v>0</v>
      </c>
      <c r="J37" s="4">
        <f t="shared" si="32"/>
        <v>0</v>
      </c>
      <c r="K37" s="4">
        <f t="shared" si="32"/>
        <v>0</v>
      </c>
      <c r="L37" s="4">
        <f t="shared" si="32"/>
        <v>0</v>
      </c>
      <c r="M37" s="49">
        <f t="shared" si="32"/>
        <v>0</v>
      </c>
      <c r="N37" s="55"/>
    </row>
    <row r="38" spans="1:14" x14ac:dyDescent="0.3">
      <c r="A38" s="18" t="s">
        <v>33</v>
      </c>
      <c r="B38" s="69">
        <f>B33+B34-B36</f>
        <v>2550</v>
      </c>
      <c r="C38" s="70">
        <f t="shared" ref="C38:M38" si="33">C33+C34-C36</f>
        <v>0</v>
      </c>
      <c r="D38" s="70">
        <f t="shared" si="33"/>
        <v>0</v>
      </c>
      <c r="E38" s="70">
        <f t="shared" si="33"/>
        <v>0</v>
      </c>
      <c r="F38" s="70">
        <f t="shared" si="33"/>
        <v>0</v>
      </c>
      <c r="G38" s="70">
        <f t="shared" si="33"/>
        <v>0</v>
      </c>
      <c r="H38" s="70">
        <f t="shared" si="33"/>
        <v>0</v>
      </c>
      <c r="I38" s="70">
        <f t="shared" si="33"/>
        <v>0</v>
      </c>
      <c r="J38" s="70">
        <f t="shared" si="33"/>
        <v>0</v>
      </c>
      <c r="K38" s="70">
        <f t="shared" si="33"/>
        <v>0</v>
      </c>
      <c r="L38" s="70">
        <f t="shared" si="33"/>
        <v>0</v>
      </c>
      <c r="M38" s="71">
        <f t="shared" si="33"/>
        <v>0</v>
      </c>
      <c r="N38" s="55"/>
    </row>
    <row r="39" spans="1:14" x14ac:dyDescent="0.3">
      <c r="A39" s="18" t="s">
        <v>34</v>
      </c>
      <c r="B39" s="69">
        <f>B31+B38</f>
        <v>22550</v>
      </c>
      <c r="C39" s="70">
        <f t="shared" ref="C39:M39" si="34">C31+C38</f>
        <v>22550</v>
      </c>
      <c r="D39" s="70">
        <f t="shared" si="34"/>
        <v>22550</v>
      </c>
      <c r="E39" s="70">
        <f t="shared" si="34"/>
        <v>22550</v>
      </c>
      <c r="F39" s="70">
        <f t="shared" si="34"/>
        <v>22550</v>
      </c>
      <c r="G39" s="70">
        <f t="shared" si="34"/>
        <v>22550</v>
      </c>
      <c r="H39" s="70">
        <f t="shared" si="34"/>
        <v>22550</v>
      </c>
      <c r="I39" s="70">
        <f t="shared" si="34"/>
        <v>22550</v>
      </c>
      <c r="J39" s="70">
        <f t="shared" si="34"/>
        <v>22550</v>
      </c>
      <c r="K39" s="70">
        <f t="shared" si="34"/>
        <v>22550</v>
      </c>
      <c r="L39" s="70">
        <f t="shared" si="34"/>
        <v>22550</v>
      </c>
      <c r="M39" s="71">
        <f t="shared" si="34"/>
        <v>22550</v>
      </c>
      <c r="N39" s="55"/>
    </row>
    <row r="40" spans="1:14" x14ac:dyDescent="0.3">
      <c r="A40" s="18" t="s">
        <v>35</v>
      </c>
      <c r="B40" s="13"/>
      <c r="C40" s="33">
        <f>C39/B39-1</f>
        <v>0</v>
      </c>
      <c r="D40" s="33">
        <f t="shared" ref="D40" si="35">D39/C39-1</f>
        <v>0</v>
      </c>
      <c r="E40" s="33">
        <f t="shared" ref="E40" si="36">E39/D39-1</f>
        <v>0</v>
      </c>
      <c r="F40" s="33">
        <f t="shared" ref="F40" si="37">F39/E39-1</f>
        <v>0</v>
      </c>
      <c r="G40" s="33">
        <f t="shared" ref="G40" si="38">G39/F39-1</f>
        <v>0</v>
      </c>
      <c r="H40" s="33">
        <f t="shared" ref="H40" si="39">H39/G39-1</f>
        <v>0</v>
      </c>
      <c r="I40" s="33">
        <f t="shared" ref="I40" si="40">I39/H39-1</f>
        <v>0</v>
      </c>
      <c r="J40" s="33">
        <f t="shared" ref="J40" si="41">J39/I39-1</f>
        <v>0</v>
      </c>
      <c r="K40" s="33">
        <f t="shared" ref="K40" si="42">K39/J39-1</f>
        <v>0</v>
      </c>
      <c r="L40" s="33">
        <f t="shared" ref="L40" si="43">L39/K39-1</f>
        <v>0</v>
      </c>
      <c r="M40" s="42">
        <f t="shared" ref="M40" si="44">M39/L39-1</f>
        <v>0</v>
      </c>
      <c r="N40" s="55"/>
    </row>
    <row r="41" spans="1:14" x14ac:dyDescent="0.3">
      <c r="A41" s="18"/>
      <c r="B41" s="13"/>
      <c r="C41" s="1"/>
      <c r="D41" s="1"/>
      <c r="E41" s="1"/>
      <c r="F41" s="1"/>
      <c r="G41" s="1"/>
      <c r="H41" s="1"/>
      <c r="I41" s="1"/>
      <c r="J41" s="1"/>
      <c r="K41" s="1"/>
      <c r="L41" s="1"/>
      <c r="M41" s="44"/>
      <c r="N41" s="55"/>
    </row>
    <row r="42" spans="1:14" x14ac:dyDescent="0.3">
      <c r="A42" s="18" t="s">
        <v>36</v>
      </c>
      <c r="B42" s="72">
        <f>B39/B26</f>
        <v>1127.5</v>
      </c>
      <c r="C42" s="73">
        <f t="shared" ref="C42:M42" si="45">C39/C26</f>
        <v>867.30769230769226</v>
      </c>
      <c r="D42" s="73">
        <f t="shared" si="45"/>
        <v>1409.375</v>
      </c>
      <c r="E42" s="73" t="e">
        <f t="shared" si="45"/>
        <v>#DIV/0!</v>
      </c>
      <c r="F42" s="73" t="e">
        <f t="shared" si="45"/>
        <v>#DIV/0!</v>
      </c>
      <c r="G42" s="73" t="e">
        <f t="shared" si="45"/>
        <v>#DIV/0!</v>
      </c>
      <c r="H42" s="73" t="e">
        <f t="shared" si="45"/>
        <v>#DIV/0!</v>
      </c>
      <c r="I42" s="73" t="e">
        <f t="shared" si="45"/>
        <v>#DIV/0!</v>
      </c>
      <c r="J42" s="73" t="e">
        <f t="shared" si="45"/>
        <v>#DIV/0!</v>
      </c>
      <c r="K42" s="73" t="e">
        <f t="shared" si="45"/>
        <v>#DIV/0!</v>
      </c>
      <c r="L42" s="73" t="e">
        <f t="shared" si="45"/>
        <v>#DIV/0!</v>
      </c>
      <c r="M42" s="74" t="e">
        <f t="shared" si="45"/>
        <v>#DIV/0!</v>
      </c>
      <c r="N42" s="55"/>
    </row>
    <row r="43" spans="1:14" x14ac:dyDescent="0.3">
      <c r="A43" s="18" t="s">
        <v>37</v>
      </c>
      <c r="B43" s="72">
        <f>B33/B21</f>
        <v>208.33333333333334</v>
      </c>
      <c r="C43" s="73">
        <f t="shared" ref="C43:M43" si="46">C33/C21</f>
        <v>0</v>
      </c>
      <c r="D43" s="73" t="e">
        <f t="shared" si="46"/>
        <v>#DIV/0!</v>
      </c>
      <c r="E43" s="73" t="e">
        <f t="shared" si="46"/>
        <v>#DIV/0!</v>
      </c>
      <c r="F43" s="73" t="e">
        <f t="shared" si="46"/>
        <v>#DIV/0!</v>
      </c>
      <c r="G43" s="73" t="e">
        <f t="shared" si="46"/>
        <v>#DIV/0!</v>
      </c>
      <c r="H43" s="73" t="e">
        <f t="shared" si="46"/>
        <v>#DIV/0!</v>
      </c>
      <c r="I43" s="73" t="e">
        <f t="shared" si="46"/>
        <v>#DIV/0!</v>
      </c>
      <c r="J43" s="73" t="e">
        <f t="shared" si="46"/>
        <v>#DIV/0!</v>
      </c>
      <c r="K43" s="73" t="e">
        <f t="shared" si="46"/>
        <v>#DIV/0!</v>
      </c>
      <c r="L43" s="73" t="e">
        <f t="shared" si="46"/>
        <v>#DIV/0!</v>
      </c>
      <c r="M43" s="74" t="e">
        <f t="shared" si="46"/>
        <v>#DIV/0!</v>
      </c>
      <c r="N43" s="55"/>
    </row>
    <row r="44" spans="1:14" ht="15" thickBot="1" x14ac:dyDescent="0.35">
      <c r="A44" s="63"/>
      <c r="B44" s="13"/>
      <c r="C44" s="1"/>
      <c r="D44" s="1"/>
      <c r="E44" s="1"/>
      <c r="F44" s="1"/>
      <c r="G44" s="1"/>
      <c r="H44" s="1"/>
      <c r="I44" s="1"/>
      <c r="J44" s="1"/>
      <c r="K44" s="1"/>
      <c r="L44" s="1"/>
      <c r="M44" s="44"/>
      <c r="N44" s="55"/>
    </row>
    <row r="45" spans="1:14" ht="15" thickBot="1" x14ac:dyDescent="0.35">
      <c r="A45" s="9" t="s">
        <v>14</v>
      </c>
      <c r="B45" s="13"/>
      <c r="C45" s="1"/>
      <c r="D45" s="1"/>
      <c r="E45" s="1"/>
      <c r="F45" s="1"/>
      <c r="G45" s="1"/>
      <c r="H45" s="1"/>
      <c r="I45" s="1"/>
      <c r="J45" s="1"/>
      <c r="K45" s="1"/>
      <c r="L45" s="1"/>
      <c r="M45" s="44"/>
      <c r="N45" s="55"/>
    </row>
    <row r="46" spans="1:14" x14ac:dyDescent="0.3">
      <c r="A46" s="18"/>
      <c r="B46" s="13"/>
      <c r="C46" s="1"/>
      <c r="D46" s="1"/>
      <c r="E46" s="1"/>
      <c r="F46" s="1"/>
      <c r="G46" s="1"/>
      <c r="H46" s="1"/>
      <c r="I46" s="1"/>
      <c r="J46" s="1"/>
      <c r="K46" s="1"/>
      <c r="L46" s="1"/>
      <c r="M46" s="44"/>
      <c r="N46" s="55"/>
    </row>
    <row r="47" spans="1:14" x14ac:dyDescent="0.3">
      <c r="A47" s="34" t="s">
        <v>15</v>
      </c>
      <c r="B47" s="14">
        <v>3000</v>
      </c>
      <c r="C47" s="5">
        <v>5000</v>
      </c>
      <c r="D47" s="5"/>
      <c r="E47" s="5"/>
      <c r="F47" s="5"/>
      <c r="G47" s="5"/>
      <c r="H47" s="5"/>
      <c r="I47" s="5"/>
      <c r="J47" s="5"/>
      <c r="K47" s="5"/>
      <c r="L47" s="5"/>
      <c r="M47" s="48"/>
      <c r="N47" s="55">
        <f>SUM(B47:M47)</f>
        <v>8000</v>
      </c>
    </row>
    <row r="48" spans="1:14" x14ac:dyDescent="0.3">
      <c r="A48" s="34" t="s">
        <v>16</v>
      </c>
      <c r="B48" s="36">
        <f>B47/B12</f>
        <v>120</v>
      </c>
      <c r="C48" s="1">
        <f>C47/C12</f>
        <v>156.25</v>
      </c>
      <c r="D48" s="1" t="e">
        <f>D47/D12</f>
        <v>#DIV/0!</v>
      </c>
      <c r="E48" s="1" t="e">
        <f>E47/E12</f>
        <v>#DIV/0!</v>
      </c>
      <c r="F48" s="1" t="e">
        <f>F47/F12</f>
        <v>#DIV/0!</v>
      </c>
      <c r="G48" s="1" t="e">
        <f>G47/G12</f>
        <v>#DIV/0!</v>
      </c>
      <c r="H48" s="1" t="e">
        <f>H47/H12</f>
        <v>#DIV/0!</v>
      </c>
      <c r="I48" s="1" t="e">
        <f>I47/I12</f>
        <v>#DIV/0!</v>
      </c>
      <c r="J48" s="1" t="e">
        <f>J47/J12</f>
        <v>#DIV/0!</v>
      </c>
      <c r="K48" s="1" t="e">
        <f>K47/K12</f>
        <v>#DIV/0!</v>
      </c>
      <c r="L48" s="1" t="e">
        <f>L47/L12</f>
        <v>#DIV/0!</v>
      </c>
      <c r="M48" s="44" t="e">
        <f>M47/M12</f>
        <v>#DIV/0!</v>
      </c>
      <c r="N48" s="55"/>
    </row>
    <row r="49" spans="1:14" x14ac:dyDescent="0.3">
      <c r="A49" s="34" t="s">
        <v>19</v>
      </c>
      <c r="B49" s="36">
        <f>B47/B11</f>
        <v>200</v>
      </c>
      <c r="C49" s="1">
        <f>C47/C11</f>
        <v>250</v>
      </c>
      <c r="D49" s="1" t="e">
        <f>D47/D11</f>
        <v>#DIV/0!</v>
      </c>
      <c r="E49" s="1" t="e">
        <f>E47/E11</f>
        <v>#DIV/0!</v>
      </c>
      <c r="F49" s="1" t="e">
        <f>F47/F11</f>
        <v>#DIV/0!</v>
      </c>
      <c r="G49" s="1" t="e">
        <f>G47/G11</f>
        <v>#DIV/0!</v>
      </c>
      <c r="H49" s="1" t="e">
        <f>H47/H11</f>
        <v>#DIV/0!</v>
      </c>
      <c r="I49" s="1" t="e">
        <f>I47/I11</f>
        <v>#DIV/0!</v>
      </c>
      <c r="J49" s="1" t="e">
        <f>J47/J11</f>
        <v>#DIV/0!</v>
      </c>
      <c r="K49" s="1" t="e">
        <f>K47/K11</f>
        <v>#DIV/0!</v>
      </c>
      <c r="L49" s="1" t="e">
        <f>L47/L11</f>
        <v>#DIV/0!</v>
      </c>
      <c r="M49" s="44" t="e">
        <f>M47/M11</f>
        <v>#DIV/0!</v>
      </c>
      <c r="N49" s="55"/>
    </row>
    <row r="50" spans="1:14" x14ac:dyDescent="0.3">
      <c r="A50" s="34" t="s">
        <v>17</v>
      </c>
      <c r="B50" s="14">
        <v>2000</v>
      </c>
      <c r="C50" s="5">
        <v>2500</v>
      </c>
      <c r="D50" s="5"/>
      <c r="E50" s="5"/>
      <c r="F50" s="5"/>
      <c r="G50" s="5"/>
      <c r="H50" s="5"/>
      <c r="I50" s="5"/>
      <c r="J50" s="5"/>
      <c r="K50" s="5"/>
      <c r="L50" s="5"/>
      <c r="M50" s="48"/>
      <c r="N50" s="55">
        <f>SUM(B50:M50)</f>
        <v>4500</v>
      </c>
    </row>
    <row r="51" spans="1:14" x14ac:dyDescent="0.3">
      <c r="A51" s="34" t="s">
        <v>20</v>
      </c>
      <c r="B51" s="29">
        <f>B50/B21</f>
        <v>166.66666666666666</v>
      </c>
      <c r="C51" s="27">
        <f>C50/C21</f>
        <v>147.05882352941177</v>
      </c>
      <c r="D51" s="27" t="e">
        <f>D50/D21</f>
        <v>#DIV/0!</v>
      </c>
      <c r="E51" s="27" t="e">
        <f>E50/E21</f>
        <v>#DIV/0!</v>
      </c>
      <c r="F51" s="27" t="e">
        <f>F50/F21</f>
        <v>#DIV/0!</v>
      </c>
      <c r="G51" s="27" t="e">
        <f>G50/G21</f>
        <v>#DIV/0!</v>
      </c>
      <c r="H51" s="27" t="e">
        <f>H50/H21</f>
        <v>#DIV/0!</v>
      </c>
      <c r="I51" s="27" t="e">
        <f>I50/I21</f>
        <v>#DIV/0!</v>
      </c>
      <c r="J51" s="27" t="e">
        <f>J50/J21</f>
        <v>#DIV/0!</v>
      </c>
      <c r="K51" s="27" t="e">
        <f>K50/K21</f>
        <v>#DIV/0!</v>
      </c>
      <c r="L51" s="27" t="e">
        <f>L50/L21</f>
        <v>#DIV/0!</v>
      </c>
      <c r="M51" s="51" t="e">
        <f>M50/M21</f>
        <v>#DIV/0!</v>
      </c>
      <c r="N51" s="55"/>
    </row>
    <row r="52" spans="1:14" x14ac:dyDescent="0.3">
      <c r="A52" s="34" t="s">
        <v>18</v>
      </c>
      <c r="B52" s="29">
        <f>(B47+B50)/B21</f>
        <v>416.66666666666669</v>
      </c>
      <c r="C52" s="27">
        <f>(C47+C50)/C21</f>
        <v>441.1764705882353</v>
      </c>
      <c r="D52" s="27" t="e">
        <f>(D47+D50)/D21</f>
        <v>#DIV/0!</v>
      </c>
      <c r="E52" s="27" t="e">
        <f>(E47+E50)/E21</f>
        <v>#DIV/0!</v>
      </c>
      <c r="F52" s="27" t="e">
        <f>(F47+F50)/F21</f>
        <v>#DIV/0!</v>
      </c>
      <c r="G52" s="27" t="e">
        <f>(G47+G50)/G21</f>
        <v>#DIV/0!</v>
      </c>
      <c r="H52" s="27" t="e">
        <f>(H47+H50)/H21</f>
        <v>#DIV/0!</v>
      </c>
      <c r="I52" s="27" t="e">
        <f>(I47+I50)/I21</f>
        <v>#DIV/0!</v>
      </c>
      <c r="J52" s="27" t="e">
        <f>(J47+J50)/J21</f>
        <v>#DIV/0!</v>
      </c>
      <c r="K52" s="27" t="e">
        <f>(K47+K50)/K21</f>
        <v>#DIV/0!</v>
      </c>
      <c r="L52" s="27" t="e">
        <f>(L47+L50)/L21</f>
        <v>#DIV/0!</v>
      </c>
      <c r="M52" s="51" t="e">
        <f>(M47+M50)/M21</f>
        <v>#DIV/0!</v>
      </c>
      <c r="N52" s="55"/>
    </row>
    <row r="53" spans="1:14" x14ac:dyDescent="0.3">
      <c r="A53" s="34" t="s">
        <v>21</v>
      </c>
      <c r="B53" s="29">
        <f>((B47+B50)*B11/B12)/(B21*(B11/B12))</f>
        <v>416.66666666666669</v>
      </c>
      <c r="C53" s="27">
        <f>((C47+C50)*C11/C12)/(C21*(C11/C12))</f>
        <v>441.1764705882353</v>
      </c>
      <c r="D53" s="27" t="e">
        <f>((D47+D50)*D11/D12)/(D21*(D11/D12))</f>
        <v>#DIV/0!</v>
      </c>
      <c r="E53" s="27" t="e">
        <f>((E47+E50)*E11/E12)/(E21*(E11/E12))</f>
        <v>#DIV/0!</v>
      </c>
      <c r="F53" s="27" t="e">
        <f>((F47+F50)*F11/F12)/(F21*(F11/F12))</f>
        <v>#DIV/0!</v>
      </c>
      <c r="G53" s="27" t="e">
        <f>((G47+G50)*G11/G12)/(G21*(G11/G12))</f>
        <v>#DIV/0!</v>
      </c>
      <c r="H53" s="27" t="e">
        <f>((H47+H50)*H11/H12)/(H21*(H11/H12))</f>
        <v>#DIV/0!</v>
      </c>
      <c r="I53" s="27" t="e">
        <f>((I47+I50)*I11/I12)/(I21*(I11/I12))</f>
        <v>#DIV/0!</v>
      </c>
      <c r="J53" s="27" t="e">
        <f>((J47+J50)*J11/J12)/(J21*(J11/J12))</f>
        <v>#DIV/0!</v>
      </c>
      <c r="K53" s="27" t="e">
        <f>((K47+K50)*K11/K12)/(K21*(K11/K12))</f>
        <v>#DIV/0!</v>
      </c>
      <c r="L53" s="27" t="e">
        <f>((L47+L50)*L11/L12)/(L21*(L11/L12))</f>
        <v>#DIV/0!</v>
      </c>
      <c r="M53" s="51" t="e">
        <f>((M47+M50)*M11/M12)/(M21*(M11/M12))</f>
        <v>#DIV/0!</v>
      </c>
      <c r="N53" s="55"/>
    </row>
    <row r="54" spans="1:14" x14ac:dyDescent="0.3">
      <c r="A54" s="34"/>
      <c r="B54" s="64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6"/>
      <c r="N54" s="67"/>
    </row>
    <row r="55" spans="1:14" x14ac:dyDescent="0.3">
      <c r="A55" s="34" t="s">
        <v>39</v>
      </c>
      <c r="B55" s="64">
        <f>B53/B43</f>
        <v>2</v>
      </c>
      <c r="C55" s="65" t="e">
        <f t="shared" ref="C55:M55" si="47">C53/C43</f>
        <v>#DIV/0!</v>
      </c>
      <c r="D55" s="65" t="e">
        <f t="shared" si="47"/>
        <v>#DIV/0!</v>
      </c>
      <c r="E55" s="65" t="e">
        <f t="shared" si="47"/>
        <v>#DIV/0!</v>
      </c>
      <c r="F55" s="65" t="e">
        <f t="shared" si="47"/>
        <v>#DIV/0!</v>
      </c>
      <c r="G55" s="65" t="e">
        <f t="shared" si="47"/>
        <v>#DIV/0!</v>
      </c>
      <c r="H55" s="65" t="e">
        <f t="shared" si="47"/>
        <v>#DIV/0!</v>
      </c>
      <c r="I55" s="65" t="e">
        <f t="shared" si="47"/>
        <v>#DIV/0!</v>
      </c>
      <c r="J55" s="65" t="e">
        <f t="shared" si="47"/>
        <v>#DIV/0!</v>
      </c>
      <c r="K55" s="65" t="e">
        <f t="shared" si="47"/>
        <v>#DIV/0!</v>
      </c>
      <c r="L55" s="65" t="e">
        <f t="shared" si="47"/>
        <v>#DIV/0!</v>
      </c>
      <c r="M55" s="66" t="e">
        <f t="shared" si="47"/>
        <v>#DIV/0!</v>
      </c>
      <c r="N55" s="67"/>
    </row>
    <row r="56" spans="1:14" x14ac:dyDescent="0.3">
      <c r="A56" s="34" t="s">
        <v>44</v>
      </c>
      <c r="B56" s="64">
        <f>(1/B24)*B42</f>
        <v>5637.5</v>
      </c>
      <c r="C56" s="65">
        <f t="shared" ref="C56:M56" si="48">(1/C24)*C42</f>
        <v>8673.076923076922</v>
      </c>
      <c r="D56" s="65" t="e">
        <f t="shared" si="48"/>
        <v>#DIV/0!</v>
      </c>
      <c r="E56" s="65" t="e">
        <f t="shared" si="48"/>
        <v>#DIV/0!</v>
      </c>
      <c r="F56" s="65" t="e">
        <f t="shared" si="48"/>
        <v>#DIV/0!</v>
      </c>
      <c r="G56" s="65" t="e">
        <f t="shared" si="48"/>
        <v>#DIV/0!</v>
      </c>
      <c r="H56" s="65" t="e">
        <f t="shared" si="48"/>
        <v>#DIV/0!</v>
      </c>
      <c r="I56" s="65" t="e">
        <f t="shared" si="48"/>
        <v>#DIV/0!</v>
      </c>
      <c r="J56" s="65" t="e">
        <f t="shared" si="48"/>
        <v>#DIV/0!</v>
      </c>
      <c r="K56" s="65" t="e">
        <f t="shared" si="48"/>
        <v>#DIV/0!</v>
      </c>
      <c r="L56" s="65" t="e">
        <f t="shared" si="48"/>
        <v>#DIV/0!</v>
      </c>
      <c r="M56" s="66" t="e">
        <f t="shared" si="48"/>
        <v>#DIV/0!</v>
      </c>
      <c r="N56" s="67"/>
    </row>
    <row r="57" spans="1:14" x14ac:dyDescent="0.3">
      <c r="A57" s="34" t="s">
        <v>40</v>
      </c>
      <c r="B57" s="64">
        <f>B56/B53</f>
        <v>13.53</v>
      </c>
      <c r="C57" s="65">
        <f t="shared" ref="C57:M57" si="49">C56/C53</f>
        <v>19.658974358974355</v>
      </c>
      <c r="D57" s="65" t="e">
        <f t="shared" si="49"/>
        <v>#DIV/0!</v>
      </c>
      <c r="E57" s="65" t="e">
        <f t="shared" si="49"/>
        <v>#DIV/0!</v>
      </c>
      <c r="F57" s="65" t="e">
        <f t="shared" si="49"/>
        <v>#DIV/0!</v>
      </c>
      <c r="G57" s="65" t="e">
        <f t="shared" si="49"/>
        <v>#DIV/0!</v>
      </c>
      <c r="H57" s="65" t="e">
        <f t="shared" si="49"/>
        <v>#DIV/0!</v>
      </c>
      <c r="I57" s="65" t="e">
        <f t="shared" si="49"/>
        <v>#DIV/0!</v>
      </c>
      <c r="J57" s="65" t="e">
        <f t="shared" si="49"/>
        <v>#DIV/0!</v>
      </c>
      <c r="K57" s="65" t="e">
        <f t="shared" si="49"/>
        <v>#DIV/0!</v>
      </c>
      <c r="L57" s="65" t="e">
        <f t="shared" si="49"/>
        <v>#DIV/0!</v>
      </c>
      <c r="M57" s="66" t="e">
        <f t="shared" si="49"/>
        <v>#DIV/0!</v>
      </c>
      <c r="N57" s="67"/>
    </row>
    <row r="58" spans="1:14" ht="15" thickBot="1" x14ac:dyDescent="0.35">
      <c r="A58" s="34"/>
      <c r="B58" s="64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6"/>
      <c r="N58" s="67"/>
    </row>
    <row r="59" spans="1:14" ht="15" thickBot="1" x14ac:dyDescent="0.35">
      <c r="A59" s="9" t="s">
        <v>45</v>
      </c>
      <c r="B59" s="64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6"/>
      <c r="N59" s="67"/>
    </row>
    <row r="60" spans="1:14" x14ac:dyDescent="0.3">
      <c r="A60" s="34"/>
      <c r="B60" s="64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6"/>
      <c r="N60" s="67"/>
    </row>
    <row r="61" spans="1:14" x14ac:dyDescent="0.3">
      <c r="A61" s="34" t="s">
        <v>46</v>
      </c>
      <c r="B61" s="75">
        <v>50000</v>
      </c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7"/>
      <c r="N61" s="67"/>
    </row>
    <row r="62" spans="1:14" x14ac:dyDescent="0.3">
      <c r="A62" s="34" t="s">
        <v>47</v>
      </c>
      <c r="B62" s="75">
        <v>25000</v>
      </c>
      <c r="C62" s="78"/>
      <c r="D62" s="78"/>
      <c r="E62" s="78"/>
      <c r="F62" s="78"/>
      <c r="G62" s="78"/>
      <c r="H62" s="78"/>
      <c r="I62" s="78"/>
      <c r="J62" s="78"/>
      <c r="K62" s="78"/>
      <c r="L62" s="78"/>
      <c r="M62" s="79"/>
      <c r="N62" s="55">
        <f t="shared" ref="N62:N64" si="50">SUM(B62:M62)</f>
        <v>25000</v>
      </c>
    </row>
    <row r="63" spans="1:14" x14ac:dyDescent="0.3">
      <c r="A63" s="34" t="s">
        <v>48</v>
      </c>
      <c r="B63" s="75">
        <v>40000</v>
      </c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9"/>
      <c r="N63" s="55">
        <f t="shared" si="50"/>
        <v>40000</v>
      </c>
    </row>
    <row r="64" spans="1:14" x14ac:dyDescent="0.3">
      <c r="A64" s="34" t="s">
        <v>49</v>
      </c>
      <c r="B64" s="80">
        <f>B63-B62</f>
        <v>15000</v>
      </c>
      <c r="C64" s="80">
        <f t="shared" ref="C64:M64" si="51">C63-C62</f>
        <v>0</v>
      </c>
      <c r="D64" s="80">
        <f t="shared" si="51"/>
        <v>0</v>
      </c>
      <c r="E64" s="80">
        <f t="shared" si="51"/>
        <v>0</v>
      </c>
      <c r="F64" s="80">
        <f t="shared" si="51"/>
        <v>0</v>
      </c>
      <c r="G64" s="80">
        <f t="shared" si="51"/>
        <v>0</v>
      </c>
      <c r="H64" s="80">
        <f t="shared" si="51"/>
        <v>0</v>
      </c>
      <c r="I64" s="80">
        <f t="shared" si="51"/>
        <v>0</v>
      </c>
      <c r="J64" s="80">
        <f t="shared" si="51"/>
        <v>0</v>
      </c>
      <c r="K64" s="80">
        <f t="shared" si="51"/>
        <v>0</v>
      </c>
      <c r="L64" s="80">
        <f t="shared" si="51"/>
        <v>0</v>
      </c>
      <c r="M64" s="80">
        <f t="shared" si="51"/>
        <v>0</v>
      </c>
      <c r="N64" s="55">
        <f t="shared" si="50"/>
        <v>15000</v>
      </c>
    </row>
    <row r="65" spans="1:14" x14ac:dyDescent="0.3">
      <c r="A65" s="34" t="s">
        <v>50</v>
      </c>
      <c r="B65" s="80">
        <f>B61+B62-B63</f>
        <v>35000</v>
      </c>
      <c r="C65" s="80">
        <f t="shared" ref="C65:M65" si="52">C61+C62-C63</f>
        <v>0</v>
      </c>
      <c r="D65" s="80">
        <f t="shared" si="52"/>
        <v>0</v>
      </c>
      <c r="E65" s="80">
        <f t="shared" si="52"/>
        <v>0</v>
      </c>
      <c r="F65" s="80">
        <f t="shared" si="52"/>
        <v>0</v>
      </c>
      <c r="G65" s="80">
        <f t="shared" si="52"/>
        <v>0</v>
      </c>
      <c r="H65" s="80">
        <f t="shared" si="52"/>
        <v>0</v>
      </c>
      <c r="I65" s="80">
        <f t="shared" si="52"/>
        <v>0</v>
      </c>
      <c r="J65" s="80">
        <f t="shared" si="52"/>
        <v>0</v>
      </c>
      <c r="K65" s="80">
        <f t="shared" si="52"/>
        <v>0</v>
      </c>
      <c r="L65" s="80">
        <f t="shared" si="52"/>
        <v>0</v>
      </c>
      <c r="M65" s="80">
        <f t="shared" si="52"/>
        <v>0</v>
      </c>
      <c r="N65" s="67"/>
    </row>
    <row r="66" spans="1:14" x14ac:dyDescent="0.3">
      <c r="A66" s="34" t="s">
        <v>51</v>
      </c>
      <c r="B66" s="64">
        <f>B65/B63</f>
        <v>0.875</v>
      </c>
      <c r="C66" s="64" t="e">
        <f t="shared" ref="C66:M66" si="53">C65/C63</f>
        <v>#DIV/0!</v>
      </c>
      <c r="D66" s="64" t="e">
        <f t="shared" si="53"/>
        <v>#DIV/0!</v>
      </c>
      <c r="E66" s="64" t="e">
        <f t="shared" si="53"/>
        <v>#DIV/0!</v>
      </c>
      <c r="F66" s="64" t="e">
        <f t="shared" si="53"/>
        <v>#DIV/0!</v>
      </c>
      <c r="G66" s="64" t="e">
        <f t="shared" si="53"/>
        <v>#DIV/0!</v>
      </c>
      <c r="H66" s="64" t="e">
        <f t="shared" si="53"/>
        <v>#DIV/0!</v>
      </c>
      <c r="I66" s="64" t="e">
        <f t="shared" si="53"/>
        <v>#DIV/0!</v>
      </c>
      <c r="J66" s="64" t="e">
        <f t="shared" si="53"/>
        <v>#DIV/0!</v>
      </c>
      <c r="K66" s="64" t="e">
        <f t="shared" si="53"/>
        <v>#DIV/0!</v>
      </c>
      <c r="L66" s="64" t="e">
        <f t="shared" si="53"/>
        <v>#DIV/0!</v>
      </c>
      <c r="M66" s="64" t="e">
        <f t="shared" si="53"/>
        <v>#DIV/0!</v>
      </c>
      <c r="N66" s="67"/>
    </row>
    <row r="67" spans="1:14" ht="15" thickBot="1" x14ac:dyDescent="0.35">
      <c r="A67" s="21"/>
      <c r="B67" s="37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52"/>
      <c r="N67" s="56"/>
    </row>
  </sheetData>
  <mergeCells count="1">
    <mergeCell ref="B1:M2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2020-08-13T12:47:49Z</dcterms:modified>
</cp:coreProperties>
</file>